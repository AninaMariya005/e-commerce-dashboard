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adf761edd2457c15/Desktop/DA/"/>
    </mc:Choice>
  </mc:AlternateContent>
  <xr:revisionPtr revIDLastSave="4" documentId="13_ncr:1_{87B28AD4-4B8B-4AF9-A368-7E06376F5E79}" xr6:coauthVersionLast="47" xr6:coauthVersionMax="47" xr10:uidLastSave="{20CDCD3D-0129-4734-B459-08F8A5A4A233}"/>
  <bookViews>
    <workbookView xWindow="-110" yWindow="-110" windowWidth="19420" windowHeight="11500" tabRatio="601" activeTab="1" xr2:uid="{346724B3-1C49-40AE-AA36-C77CF5D6DD09}"/>
  </bookViews>
  <sheets>
    <sheet name="pivots" sheetId="5" r:id="rId1"/>
    <sheet name="my dashboard" sheetId="6" r:id="rId2"/>
    <sheet name="Sheet1" sheetId="7" r:id="rId3"/>
    <sheet name="shipment" sheetId="9" r:id="rId4"/>
    <sheet name="Data" sheetId="1" r:id="rId5"/>
    <sheet name="Questions &amp; KPIs" sheetId="2" r:id="rId6"/>
    <sheet name="Sheet5" sheetId="11" r:id="rId7"/>
    <sheet name="Sheet6" sheetId="12" r:id="rId8"/>
    <sheet name="Sheet7" sheetId="13" r:id="rId9"/>
  </sheets>
  <definedNames>
    <definedName name="_xlchart.v5.0" hidden="1">pivots!$E$132:$F$132</definedName>
    <definedName name="_xlchart.v5.1" hidden="1">pivots!$E$133:$F$166</definedName>
    <definedName name="_xlchart.v5.2" hidden="1">pivots!$G$132</definedName>
    <definedName name="_xlchart.v5.3" hidden="1">pivots!$G$133:$G$166</definedName>
    <definedName name="_xlchart.v5.4" hidden="1">pivots!$A$132:$B$132</definedName>
    <definedName name="_xlchart.v5.5" hidden="1">pivots!$A$133:$B$166</definedName>
    <definedName name="_xlchart.v5.6" hidden="1">pivots!$C$132</definedName>
    <definedName name="_xlchart.v5.7" hidden="1">pivots!$C$133:$C$166</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4" i="5" l="1"/>
  <c r="F134" i="5"/>
  <c r="G134" i="5"/>
  <c r="E135" i="5"/>
  <c r="F135" i="5"/>
  <c r="G135" i="5"/>
  <c r="E136" i="5"/>
  <c r="F136" i="5"/>
  <c r="G136" i="5"/>
  <c r="E137" i="5"/>
  <c r="F137" i="5"/>
  <c r="G137" i="5"/>
  <c r="E138" i="5"/>
  <c r="F138" i="5"/>
  <c r="G138" i="5"/>
  <c r="E139" i="5"/>
  <c r="F139" i="5"/>
  <c r="G139" i="5"/>
  <c r="E140" i="5"/>
  <c r="F140" i="5"/>
  <c r="G140" i="5"/>
  <c r="E141" i="5"/>
  <c r="F141" i="5"/>
  <c r="G141" i="5"/>
  <c r="E142" i="5"/>
  <c r="F142" i="5"/>
  <c r="G142" i="5"/>
  <c r="E143" i="5"/>
  <c r="F143" i="5"/>
  <c r="G143" i="5"/>
  <c r="E144" i="5"/>
  <c r="F144" i="5"/>
  <c r="G144" i="5"/>
  <c r="E145" i="5"/>
  <c r="F145" i="5"/>
  <c r="G145" i="5"/>
  <c r="E146" i="5"/>
  <c r="F146" i="5"/>
  <c r="G146" i="5"/>
  <c r="E147" i="5"/>
  <c r="F147" i="5"/>
  <c r="G147" i="5"/>
  <c r="E148" i="5"/>
  <c r="F148" i="5"/>
  <c r="G148" i="5"/>
  <c r="E149" i="5"/>
  <c r="F149" i="5"/>
  <c r="G149" i="5"/>
  <c r="E150" i="5"/>
  <c r="F150" i="5"/>
  <c r="G150" i="5"/>
  <c r="E151" i="5"/>
  <c r="F151" i="5"/>
  <c r="G151" i="5"/>
  <c r="E152" i="5"/>
  <c r="F152" i="5"/>
  <c r="G152" i="5"/>
  <c r="E153" i="5"/>
  <c r="F153" i="5"/>
  <c r="G153" i="5"/>
  <c r="E154" i="5"/>
  <c r="F154" i="5"/>
  <c r="G154" i="5"/>
  <c r="E155" i="5"/>
  <c r="F155" i="5"/>
  <c r="G155" i="5"/>
  <c r="E156" i="5"/>
  <c r="F156" i="5"/>
  <c r="G156" i="5"/>
  <c r="E157" i="5"/>
  <c r="F157" i="5"/>
  <c r="G157" i="5"/>
  <c r="E158" i="5"/>
  <c r="F158" i="5"/>
  <c r="G158" i="5"/>
  <c r="E159" i="5"/>
  <c r="F159" i="5"/>
  <c r="G159" i="5"/>
  <c r="E160" i="5"/>
  <c r="F160" i="5"/>
  <c r="G160" i="5"/>
  <c r="E161" i="5"/>
  <c r="F161" i="5"/>
  <c r="G161" i="5"/>
  <c r="E162" i="5"/>
  <c r="F162" i="5"/>
  <c r="G162" i="5"/>
  <c r="E163" i="5"/>
  <c r="F163" i="5"/>
  <c r="G163" i="5"/>
  <c r="E164" i="5"/>
  <c r="F164" i="5"/>
  <c r="G164" i="5"/>
  <c r="E165" i="5"/>
  <c r="F165" i="5"/>
  <c r="G165" i="5"/>
  <c r="E166" i="5"/>
  <c r="F166" i="5"/>
  <c r="G166" i="5"/>
  <c r="F133" i="5"/>
  <c r="G133" i="5"/>
  <c r="E133" i="5"/>
  <c r="A134" i="5"/>
  <c r="B134" i="5"/>
  <c r="C134" i="5"/>
  <c r="A135" i="5"/>
  <c r="B135" i="5"/>
  <c r="C135" i="5"/>
  <c r="A136" i="5"/>
  <c r="B136" i="5"/>
  <c r="C136" i="5"/>
  <c r="A137" i="5"/>
  <c r="B137" i="5"/>
  <c r="C137" i="5"/>
  <c r="A138" i="5"/>
  <c r="B138" i="5"/>
  <c r="C138" i="5"/>
  <c r="A139" i="5"/>
  <c r="B139" i="5"/>
  <c r="C139" i="5"/>
  <c r="A140" i="5"/>
  <c r="B140" i="5"/>
  <c r="C140" i="5"/>
  <c r="A141" i="5"/>
  <c r="B141" i="5"/>
  <c r="C141" i="5"/>
  <c r="A142" i="5"/>
  <c r="B142" i="5"/>
  <c r="C142" i="5"/>
  <c r="A143" i="5"/>
  <c r="B143" i="5"/>
  <c r="C143" i="5"/>
  <c r="A144" i="5"/>
  <c r="B144" i="5"/>
  <c r="C144" i="5"/>
  <c r="A145" i="5"/>
  <c r="B145" i="5"/>
  <c r="C145" i="5"/>
  <c r="A146" i="5"/>
  <c r="B146" i="5"/>
  <c r="C146" i="5"/>
  <c r="A147" i="5"/>
  <c r="B147" i="5"/>
  <c r="C147" i="5"/>
  <c r="A148" i="5"/>
  <c r="B148" i="5"/>
  <c r="C148" i="5"/>
  <c r="A149" i="5"/>
  <c r="B149" i="5"/>
  <c r="C149" i="5"/>
  <c r="A150" i="5"/>
  <c r="B150" i="5"/>
  <c r="C150" i="5"/>
  <c r="A151" i="5"/>
  <c r="B151" i="5"/>
  <c r="C151" i="5"/>
  <c r="A152" i="5"/>
  <c r="B152" i="5"/>
  <c r="C152" i="5"/>
  <c r="A153" i="5"/>
  <c r="B153" i="5"/>
  <c r="C153" i="5"/>
  <c r="A154" i="5"/>
  <c r="B154" i="5"/>
  <c r="C154" i="5"/>
  <c r="A155" i="5"/>
  <c r="B155" i="5"/>
  <c r="C155" i="5"/>
  <c r="A156" i="5"/>
  <c r="B156" i="5"/>
  <c r="C156" i="5"/>
  <c r="A157" i="5"/>
  <c r="B157" i="5"/>
  <c r="C157" i="5"/>
  <c r="A158" i="5"/>
  <c r="B158" i="5"/>
  <c r="C158" i="5"/>
  <c r="A159" i="5"/>
  <c r="B159" i="5"/>
  <c r="C159" i="5"/>
  <c r="A160" i="5"/>
  <c r="B160" i="5"/>
  <c r="C160" i="5"/>
  <c r="A161" i="5"/>
  <c r="B161" i="5"/>
  <c r="C161" i="5"/>
  <c r="A162" i="5"/>
  <c r="B162" i="5"/>
  <c r="C162" i="5"/>
  <c r="A163" i="5"/>
  <c r="B163" i="5"/>
  <c r="C163" i="5"/>
  <c r="A164" i="5"/>
  <c r="B164" i="5"/>
  <c r="C164" i="5"/>
  <c r="A165" i="5"/>
  <c r="B165" i="5"/>
  <c r="C165" i="5"/>
  <c r="A166" i="5"/>
  <c r="B166" i="5"/>
  <c r="C166" i="5"/>
  <c r="B133" i="5"/>
  <c r="C133" i="5"/>
  <c r="A133" i="5"/>
  <c r="G132" i="5"/>
  <c r="F132" i="5"/>
  <c r="E132" i="5"/>
  <c r="B132" i="5"/>
  <c r="C132" i="5"/>
  <c r="A132" i="5"/>
  <c r="J6" i="7"/>
  <c r="K6" i="7"/>
  <c r="L6" i="7"/>
  <c r="I6" i="7"/>
  <c r="H8" i="7"/>
  <c r="I8" i="7"/>
  <c r="J8" i="7"/>
  <c r="K8" i="7"/>
  <c r="L8" i="7"/>
  <c r="H9" i="7"/>
  <c r="I9" i="7"/>
  <c r="J9" i="7"/>
  <c r="K9" i="7"/>
  <c r="L9" i="7"/>
  <c r="H10" i="7"/>
  <c r="I10" i="7"/>
  <c r="J10" i="7"/>
  <c r="K10" i="7"/>
  <c r="L10" i="7"/>
  <c r="H11" i="7"/>
  <c r="I11" i="7"/>
  <c r="J11" i="7"/>
  <c r="K11" i="7"/>
  <c r="L11" i="7"/>
  <c r="I7" i="7"/>
  <c r="J7" i="7"/>
  <c r="K7" i="7"/>
  <c r="L7" i="7"/>
  <c r="H7" i="7"/>
  <c r="I5" i="5"/>
  <c r="J5" i="5"/>
  <c r="K5" i="5"/>
  <c r="L5" i="5"/>
  <c r="H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<sst xmlns="http://schemas.openxmlformats.org/spreadsheetml/2006/main" count="14640" uniqueCount="2552">
  <si>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</si>
  <si>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</si>
  <si>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</si>
  <si>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</si>
  <si>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</si>
  <si>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</si>
  <si>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</si>
  <si>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</si>
  <si>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</si>
  <si>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</si>
  <si>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</si>
  <si>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</si>
  <si>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</si>
  <si>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</si>
  <si>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</si>
  <si>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</si>
  <si>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</si>
  <si>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</si>
  <si>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</si>
  <si>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</si>
  <si>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</si>
  <si>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</si>
  <si>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</si>
  <si>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</si>
  <si>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</si>
  <si>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</si>
  <si>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</si>
  <si>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</si>
  <si>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</si>
  <si>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</si>
  <si>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</si>
  <si>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</si>
  <si>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</si>
  <si>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</si>
  <si>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</si>
  <si>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</si>
  <si>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</si>
  <si>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</si>
  <si>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</si>
  <si>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</si>
  <si>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</si>
  <si>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</si>
  <si>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</si>
  <si>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</si>
  <si>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</si>
  <si>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</si>
  <si>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</si>
  <si>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</si>
  <si>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</si>
  <si>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</si>
  <si>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</si>
  <si>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</si>
  <si>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</si>
  <si>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</si>
  <si>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</si>
  <si>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</si>
  <si>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</si>
  <si>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</si>
  <si>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</si>
  <si>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</si>
  <si>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</si>
  <si>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</si>
  <si>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</si>
  <si>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</si>
  <si>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</si>
  <si>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</si>
  <si>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</si>
  <si>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</si>
  <si>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</si>
  <si>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</si>
  <si>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</si>
  <si>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</si>
  <si>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</si>
  <si>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</si>
  <si>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</si>
  <si>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</si>
  <si>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</si>
  <si>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</si>
  <si>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</si>
  <si>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</si>
  <si>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</si>
  <si>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</si>
  <si>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</si>
  <si>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</si>
  <si>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</si>
  <si>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</si>
  <si>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</si>
  <si>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</si>
  <si>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</si>
  <si>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</si>
  <si>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</si>
  <si>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</si>
  <si>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</si>
  <si>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</si>
  <si>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</si>
  <si>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</si>
  <si>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</si>
  <si>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</si>
  <si>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</si>
  <si>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</si>
  <si>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</si>
  <si>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</si>
  <si>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</si>
  <si>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</si>
  <si>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</si>
  <si>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</si>
  <si>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</si>
  <si>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</si>
  <si>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</si>
  <si>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</si>
  <si>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</si>
  <si>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</si>
  <si>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</si>
  <si>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</si>
  <si>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</si>
  <si>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</si>
  <si>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</si>
  <si>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</si>
  <si>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</si>
  <si>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</si>
  <si>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</si>
  <si>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</si>
  <si>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</si>
  <si>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</si>
  <si>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</si>
  <si>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</si>
  <si>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</si>
  <si>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</si>
  <si>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</si>
  <si>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</si>
  <si>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</si>
  <si>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</si>
  <si>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</si>
  <si>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</si>
  <si>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</si>
  <si>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</si>
  <si>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</si>
  <si>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</si>
  <si>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</si>
  <si>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</si>
  <si>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</si>
  <si>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</si>
  <si>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</si>
  <si>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</si>
  <si>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</si>
  <si>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</si>
  <si>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</si>
  <si>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</si>
  <si>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</si>
  <si>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</si>
  <si>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</si>
  <si>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</si>
  <si>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</si>
  <si>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</si>
  <si>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</si>
  <si>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</si>
  <si>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</si>
  <si>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</si>
  <si>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</si>
  <si>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</si>
  <si>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</si>
  <si>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</si>
  <si>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</si>
  <si>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</si>
  <si>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</si>
  <si>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</si>
  <si>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</si>
  <si>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</si>
  <si>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</si>
  <si>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</si>
  <si>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</si>
  <si>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</si>
  <si>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</si>
  <si>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</si>
  <si>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</si>
  <si>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</si>
  <si>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</si>
  <si>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</si>
  <si>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</si>
  <si>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</si>
  <si>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</si>
  <si>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</si>
  <si>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</si>
  <si>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</si>
  <si>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</si>
  <si>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</si>
  <si>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</si>
  <si>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</si>
  <si>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</si>
  <si>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</si>
  <si>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</si>
  <si>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</si>
  <si>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</si>
  <si>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</si>
  <si>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</si>
  <si>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</si>
  <si>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</si>
  <si>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</si>
  <si>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</si>
  <si>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</si>
  <si>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</si>
  <si>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</si>
  <si>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</si>
  <si>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</si>
  <si>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</si>
  <si>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</si>
  <si>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</si>
  <si>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</si>
  <si>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</si>
  <si>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</si>
  <si>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</si>
  <si>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</si>
  <si>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</si>
  <si>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</si>
  <si>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</si>
  <si>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</si>
  <si>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</si>
  <si>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</si>
  <si>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</si>
  <si>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</si>
  <si>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</si>
  <si>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</si>
  <si>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</si>
  <si>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</si>
  <si>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</si>
  <si>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</si>
  <si>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</si>
  <si>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</si>
  <si>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</si>
  <si>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</si>
  <si>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</si>
  <si>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</si>
  <si>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</si>
  <si>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</si>
  <si>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</si>
  <si>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</si>
  <si>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</si>
  <si>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</si>
  <si>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</si>
  <si>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</si>
  <si>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</si>
  <si>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</si>
  <si>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</si>
  <si>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</si>
  <si>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</si>
  <si>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</si>
  <si>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</si>
  <si>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</si>
  <si>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</si>
  <si>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</si>
  <si>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</si>
  <si>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</si>
  <si>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</si>
  <si>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</si>
  <si>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</si>
  <si>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</si>
  <si>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</si>
  <si>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</si>
  <si>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</si>
  <si>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</si>
  <si>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</si>
  <si>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</si>
  <si>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</si>
  <si>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</si>
  <si>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</si>
  <si>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</si>
  <si>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</si>
  <si>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</si>
  <si>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</si>
  <si>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</si>
  <si>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</si>
  <si>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</si>
  <si>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</si>
  <si>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</si>
  <si>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</si>
  <si>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</si>
  <si>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</si>
  <si>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</si>
  <si>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</si>
  <si>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</si>
  <si>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</si>
  <si>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</si>
  <si>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</si>
  <si>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</si>
  <si>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</si>
  <si>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</si>
  <si>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</si>
  <si>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</si>
  <si>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</si>
  <si>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</si>
  <si>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</si>
  <si>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</si>
  <si>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</si>
  <si>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</si>
  <si>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</si>
  <si>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</si>
  <si>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</si>
  <si>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</si>
  <si>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</si>
  <si>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</si>
  <si>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</si>
  <si>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</si>
  <si>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</si>
  <si>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</si>
  <si>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</si>
  <si>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</si>
  <si>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</si>
  <si>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</si>
  <si>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</si>
  <si>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</si>
  <si>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</si>
  <si>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</si>
  <si>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</si>
  <si>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</si>
  <si>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</si>
  <si>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</si>
  <si>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</si>
  <si>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</si>
  <si>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</si>
  <si>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</si>
  <si>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</si>
  <si>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</si>
  <si>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</si>
  <si>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</si>
  <si>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</si>
  <si>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</si>
  <si>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</si>
  <si>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</si>
  <si>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</si>
  <si>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</si>
  <si>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</si>
  <si>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</si>
  <si>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</si>
  <si>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</si>
  <si>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</si>
  <si>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</si>
  <si>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</si>
  <si>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</si>
  <si>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</si>
  <si>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</si>
  <si>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</si>
  <si>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</si>
  <si>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</si>
  <si>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</si>
  <si>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</si>
  <si>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</si>
  <si>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</si>
  <si>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</si>
  <si>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</si>
  <si>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</si>
  <si>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</si>
  <si>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</si>
  <si>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</si>
  <si>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</si>
  <si>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</si>
  <si>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</si>
  <si>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</si>
  <si>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</si>
  <si>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</si>
  <si>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</si>
  <si>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</si>
  <si>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</si>
  <si>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</si>
  <si>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</si>
  <si>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</si>
  <si>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</si>
  <si>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</si>
  <si>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</si>
  <si>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</si>
  <si>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</si>
  <si>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</si>
  <si>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</si>
  <si>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</si>
  <si>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</si>
  <si>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</si>
  <si>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</si>
  <si>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</si>
  <si>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</si>
  <si>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</si>
  <si>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</si>
  <si>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</si>
  <si>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</si>
  <si>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</si>
  <si>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</si>
  <si>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</si>
  <si>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</si>
  <si>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</si>
  <si>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</si>
  <si>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</si>
  <si>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</si>
  <si>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</si>
  <si>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</si>
  <si>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</si>
  <si>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</si>
  <si>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</si>
  <si>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</si>
  <si>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</si>
  <si>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</si>
  <si>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</si>
  <si>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</si>
  <si>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</si>
  <si>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</si>
  <si>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</si>
  <si>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</si>
  <si>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</si>
  <si>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</si>
  <si>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</si>
  <si>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</si>
  <si>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</si>
  <si>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</si>
  <si>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</si>
  <si>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</si>
  <si>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</si>
  <si>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</si>
  <si>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</si>
  <si>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</si>
  <si>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</si>
  <si>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</si>
  <si>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</si>
  <si>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</si>
  <si>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</si>
  <si>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</si>
  <si>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</si>
  <si>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</si>
  <si>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</si>
  <si>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</si>
  <si>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</si>
  <si>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</si>
  <si>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</si>
  <si>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</si>
  <si>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</si>
  <si>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</si>
  <si>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</si>
  <si>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</si>
  <si>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</si>
  <si>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</si>
  <si>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</si>
  <si>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</si>
  <si>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</si>
  <si>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</si>
  <si>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</si>
  <si>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</si>
  <si>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</si>
  <si>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</si>
  <si>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</si>
  <si>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</si>
  <si>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</si>
  <si>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</si>
  <si>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</si>
  <si>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</si>
  <si>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</si>
  <si>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</si>
  <si>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</si>
  <si>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</si>
  <si>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</si>
  <si>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</si>
  <si>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</si>
  <si>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</si>
  <si>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</si>
  <si>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</si>
  <si>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</si>
  <si>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</si>
  <si>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</si>
  <si>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</si>
  <si>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</si>
  <si>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</si>
  <si>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</si>
  <si>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</si>
  <si>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</si>
  <si>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</si>
  <si>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</si>
  <si>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</si>
  <si>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</si>
  <si>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</si>
  <si>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</si>
  <si>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</si>
  <si>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</si>
  <si>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</si>
  <si>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</si>
  <si>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</si>
  <si>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</si>
  <si>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</si>
  <si>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</si>
  <si>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</si>
  <si>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</si>
  <si>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</si>
  <si>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</si>
  <si>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</si>
  <si>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</si>
  <si>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</si>
  <si>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</si>
  <si>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</si>
  <si>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</si>
  <si>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</si>
  <si>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</si>
  <si>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</si>
  <si>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</si>
  <si>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</si>
  <si>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</si>
  <si>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</si>
  <si>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</si>
  <si>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</si>
  <si>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</si>
  <si>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</si>
  <si>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</si>
  <si>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</si>
  <si>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</si>
  <si>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</si>
  <si>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</si>
  <si>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</si>
  <si>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</si>
  <si>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</si>
  <si>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</si>
  <si>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</si>
  <si>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</si>
  <si>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</si>
  <si>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</si>
  <si>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</si>
  <si>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</si>
  <si>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</si>
  <si>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</si>
  <si>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</si>
  <si>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</si>
  <si>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</si>
  <si>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</si>
  <si>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</si>
  <si>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</si>
  <si>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</si>
  <si>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</si>
  <si>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</si>
  <si>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</si>
  <si>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</si>
  <si>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</si>
  <si>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</si>
  <si>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</si>
  <si>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</si>
  <si>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</si>
  <si>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</si>
  <si>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</si>
  <si>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</si>
  <si>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</si>
  <si>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</si>
  <si>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</si>
  <si>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</si>
  <si>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</si>
  <si>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</si>
  <si>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</si>
  <si>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</si>
  <si>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</si>
  <si>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</si>
  <si>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</si>
  <si>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</si>
  <si>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</si>
  <si>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</si>
  <si>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</si>
  <si>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</si>
  <si>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</si>
  <si>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</si>
  <si>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</si>
  <si>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</si>
  <si>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</si>
  <si>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</si>
  <si>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</si>
  <si>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</si>
  <si>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</si>
  <si>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</si>
  <si>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</si>
  <si>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</si>
  <si>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</si>
  <si>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</si>
  <si>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</si>
  <si>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</si>
  <si>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</si>
  <si>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</si>
  <si>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</si>
  <si>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</si>
  <si>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</si>
  <si>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</si>
  <si>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</si>
  <si>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</si>
  <si>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</si>
  <si>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</si>
  <si>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</si>
  <si>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</si>
  <si>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</si>
  <si>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</si>
  <si>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</si>
  <si>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</si>
  <si>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</si>
  <si>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</si>
  <si>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</si>
  <si>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</si>
  <si>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</si>
  <si>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</si>
  <si>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</si>
  <si>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</si>
  <si>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</si>
  <si>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</si>
  <si>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</si>
  <si>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</si>
  <si>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</si>
  <si>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</si>
  <si>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</si>
  <si>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</si>
  <si>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</si>
  <si>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</si>
  <si>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</si>
  <si>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</si>
  <si>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</si>
  <si>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</si>
  <si>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</si>
  <si>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</si>
  <si>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</si>
  <si>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</si>
  <si>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</si>
  <si>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</si>
  <si>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</si>
  <si>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</si>
  <si>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</si>
  <si>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</si>
  <si>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</si>
  <si>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</si>
  <si>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</si>
  <si>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</si>
  <si>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</si>
  <si>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</si>
  <si>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</si>
  <si>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</si>
  <si>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</si>
  <si>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</si>
  <si>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</si>
  <si>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</si>
  <si>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</si>
  <si>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</si>
  <si>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</si>
  <si>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</si>
  <si>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</si>
  <si>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</si>
  <si>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</si>
  <si>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</si>
  <si>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</si>
  <si>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</si>
  <si>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</si>
  <si>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</si>
  <si>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</si>
  <si>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</si>
  <si>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</si>
  <si>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</si>
  <si>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</si>
  <si>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</si>
  <si>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</si>
  <si>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</si>
  <si>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</si>
  <si>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</si>
  <si>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</si>
  <si>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</si>
  <si>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</si>
  <si>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</si>
  <si>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</si>
  <si>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</si>
  <si>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</si>
  <si>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</si>
  <si>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</si>
  <si>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</si>
  <si>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</si>
  <si>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</si>
  <si>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</si>
  <si>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</si>
  <si>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</si>
  <si>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</si>
  <si>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</si>
  <si>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</si>
  <si>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</si>
  <si>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</si>
  <si>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</si>
  <si>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</si>
  <si>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</si>
  <si>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</si>
  <si>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</si>
  <si>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</si>
  <si>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</si>
  <si>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</si>
  <si>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</si>
  <si>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</si>
  <si>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</si>
  <si>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</si>
  <si>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</si>
  <si>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</si>
  <si>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</si>
  <si>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</si>
  <si>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</si>
  <si>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</si>
  <si>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</si>
  <si>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</si>
  <si>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</si>
  <si>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</si>
  <si>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</si>
  <si>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</si>
  <si>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</si>
  <si>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</si>
  <si>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</si>
  <si>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</si>
  <si>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</si>
  <si>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</si>
  <si>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</si>
  <si>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</si>
  <si>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</si>
  <si>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</si>
  <si>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</si>
  <si>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</si>
  <si>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</si>
  <si>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</si>
  <si>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</si>
  <si>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</si>
  <si>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</si>
  <si>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</si>
  <si>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</si>
  <si>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</si>
  <si>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</si>
  <si>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</si>
  <si>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</si>
  <si>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</si>
  <si>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</si>
  <si>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</si>
  <si>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</si>
  <si>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</si>
  <si>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</si>
  <si>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</si>
  <si>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</si>
  <si>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</si>
  <si>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</si>
  <si>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</si>
  <si>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</si>
  <si>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</si>
  <si>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</si>
  <si>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</si>
  <si>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</si>
  <si>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</si>
  <si>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</si>
  <si>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</si>
  <si>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</si>
  <si>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</si>
  <si>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</si>
  <si>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</si>
  <si>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</si>
  <si>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</si>
  <si>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</si>
  <si>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</si>
  <si>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</si>
  <si>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</si>
  <si>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</si>
  <si>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</si>
  <si>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</si>
  <si>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</si>
  <si>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</si>
  <si>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</si>
  <si>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</si>
  <si>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</si>
  <si>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</si>
  <si>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</si>
  <si>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</si>
  <si>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</si>
  <si>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</si>
  <si>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</si>
  <si>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</si>
  <si>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</si>
  <si>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</si>
  <si>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</si>
  <si>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</si>
  <si>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</si>
  <si>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</si>
  <si>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</si>
  <si>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</si>
  <si>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</si>
  <si>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</si>
  <si>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</si>
  <si>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</si>
  <si>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</si>
  <si>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</si>
  <si>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</si>
  <si>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</si>
  <si>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</si>
  <si>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</si>
  <si>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</si>
  <si>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</si>
  <si>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</si>
  <si>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</si>
  <si>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</si>
  <si>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</si>
  <si>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</si>
  <si>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</si>
  <si>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</si>
  <si>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</si>
  <si>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</si>
  <si>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</si>
  <si>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</si>
  <si>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</si>
  <si>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</si>
  <si>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</si>
  <si>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</si>
  <si>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</si>
  <si>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</si>
  <si>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</si>
  <si>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</si>
  <si>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</si>
  <si>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</si>
  <si>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</si>
  <si>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</si>
  <si>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</si>
  <si>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</si>
  <si>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</si>
  <si>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</si>
  <si>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</si>
  <si>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</si>
  <si>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</si>
  <si>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</si>
  <si>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</si>
  <si>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</si>
  <si>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</si>
  <si>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</si>
  <si>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</si>
  <si>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</si>
  <si>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</si>
  <si>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</si>
  <si>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</si>
  <si>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</si>
  <si>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</si>
  <si>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</si>
  <si>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</si>
  <si>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</si>
  <si>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</si>
  <si>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</si>
  <si>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</si>
  <si>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</si>
  <si>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</si>
  <si>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</si>
  <si>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</si>
  <si>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</si>
  <si>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</si>
  <si>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</si>
  <si>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</si>
  <si>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</si>
  <si>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</si>
  <si>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</si>
  <si>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</si>
  <si>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</si>
  <si>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</si>
  <si>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</si>
  <si>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</si>
  <si>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</si>
  <si>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</si>
  <si>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</si>
  <si>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</si>
  <si>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</si>
  <si>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</si>
  <si>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</si>
  <si>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</si>
  <si>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</si>
  <si>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</si>
  <si>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</si>
  <si>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</si>
  <si>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</si>
  <si>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</si>
  <si>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</si>
  <si>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</si>
  <si>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</si>
  <si>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</si>
  <si>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</si>
  <si>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</si>
  <si>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</si>
  <si>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</si>
  <si>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</si>
  <si>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</si>
  <si>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</si>
  <si>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</si>
  <si>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</si>
  <si>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</si>
  <si>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</si>
  <si>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</si>
  <si>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</si>
  <si>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</si>
  <si>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</si>
  <si>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</si>
  <si>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</si>
  <si>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</si>
  <si>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</si>
  <si>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</si>
  <si>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</si>
  <si>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</si>
  <si>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</si>
  <si>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</si>
  <si>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</si>
  <si>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</si>
  <si>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</si>
  <si>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</si>
  <si>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</si>
  <si>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</si>
  <si>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</si>
  <si>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</si>
  <si>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</si>
  <si>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</si>
  <si>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</si>
  <si>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</si>
  <si>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</si>
  <si>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</si>
  <si>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</si>
  <si>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</si>
  <si>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</si>
  <si>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</si>
  <si>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</si>
  <si>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</si>
  <si>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</si>
  <si>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</si>
  <si>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</si>
  <si>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</si>
  <si>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</si>
  <si>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</si>
  <si>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</si>
  <si>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</si>
  <si>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</si>
  <si>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</si>
  <si>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</si>
  <si>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</si>
  <si>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</si>
  <si>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</si>
  <si>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</si>
  <si>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</si>
  <si>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</si>
  <si>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</si>
  <si>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</si>
  <si>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</si>
  <si>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</si>
  <si>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</si>
  <si>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</si>
  <si>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</si>
  <si>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</si>
  <si>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</si>
  <si>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</si>
  <si>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</si>
  <si>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</si>
  <si>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</si>
  <si>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</si>
  <si>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</si>
  <si>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</si>
  <si>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</si>
  <si>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</si>
  <si>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</si>
  <si>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</si>
  <si>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</si>
  <si>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</si>
  <si>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</si>
  <si>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</si>
  <si>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</si>
  <si>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</si>
  <si>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</si>
  <si>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</si>
  <si>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</si>
  <si>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</si>
  <si>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</si>
  <si>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</si>
  <si>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</si>
  <si>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</si>
  <si>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</si>
  <si>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</si>
  <si>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</si>
  <si>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</si>
  <si>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</si>
  <si>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</si>
  <si>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</si>
  <si>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</si>
  <si>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</si>
  <si>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</si>
  <si>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</si>
  <si>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</si>
  <si>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</si>
  <si>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</si>
  <si>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</si>
  <si>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</si>
  <si>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</si>
  <si>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</si>
  <si>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</si>
  <si>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</si>
  <si>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</si>
  <si>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</si>
  <si>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</si>
  <si>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</si>
  <si>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</si>
  <si>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</si>
  <si>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</si>
  <si>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</si>
  <si>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</si>
  <si>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</si>
  <si>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</si>
  <si>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</si>
  <si>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</si>
  <si>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</si>
  <si>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</si>
  <si>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</si>
  <si>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</si>
  <si>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</si>
  <si>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</si>
  <si>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</si>
  <si>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</si>
  <si>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</si>
  <si>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</si>
  <si>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</si>
  <si>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</si>
  <si>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</si>
  <si>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</si>
  <si>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</si>
  <si>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</si>
  <si>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</si>
  <si>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</si>
  <si>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</si>
  <si>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</si>
  <si>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</si>
  <si>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</si>
  <si>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</si>
  <si>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</si>
  <si>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</si>
  <si>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</si>
  <si>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</si>
  <si>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</si>
  <si>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</si>
  <si>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</si>
  <si>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</si>
  <si>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</si>
  <si>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</si>
  <si>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</si>
  <si>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</si>
  <si>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</si>
  <si>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</si>
  <si>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</si>
  <si>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</si>
  <si>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</si>
  <si>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</si>
  <si>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</si>
  <si>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</si>
  <si>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</si>
  <si>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</si>
  <si>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</si>
  <si>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</si>
  <si>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</si>
  <si>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</si>
  <si>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</si>
  <si>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</si>
  <si>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</si>
  <si>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</si>
  <si>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</si>
  <si>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</si>
  <si>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</si>
  <si>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</si>
  <si>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</si>
  <si>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</si>
  <si>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</si>
  <si>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</si>
  <si>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</si>
  <si>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</si>
  <si>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</si>
  <si>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</si>
  <si>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</si>
  <si>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</si>
  <si>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</si>
  <si>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</si>
  <si>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</si>
  <si>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</si>
  <si>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</si>
  <si>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</si>
  <si>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</si>
  <si>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</si>
  <si>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</si>
  <si>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</si>
  <si>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</si>
  <si>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</si>
  <si>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</si>
  <si>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</si>
  <si>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</si>
  <si>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</si>
  <si>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</si>
  <si>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</si>
  <si>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</si>
  <si>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</si>
  <si>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</si>
  <si>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</si>
  <si>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</si>
  <si>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</si>
  <si>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</si>
  <si>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</si>
  <si>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</si>
  <si>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</si>
  <si>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</si>
  <si>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</si>
  <si>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</si>
  <si>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</si>
  <si>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</si>
  <si>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</si>
  <si>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</si>
  <si>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</si>
  <si>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</si>
  <si>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</si>
  <si>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</si>
  <si>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</si>
  <si>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</si>
  <si>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</si>
  <si>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</si>
  <si>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</si>
  <si>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</si>
  <si>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</si>
  <si>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</si>
  <si>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</si>
  <si>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</si>
  <si>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</si>
  <si>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</si>
  <si>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</si>
  <si>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</si>
  <si>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</si>
  <si>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</si>
  <si>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</si>
  <si>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</si>
  <si>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</si>
  <si>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</si>
  <si>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</si>
  <si>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</si>
  <si>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</si>
  <si>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</si>
  <si>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</si>
  <si>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</si>
  <si>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</si>
  <si>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</si>
  <si>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</si>
  <si>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</si>
  <si>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</si>
  <si>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</si>
  <si>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</si>
  <si>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</si>
  <si>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</si>
  <si>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</si>
  <si>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</si>
  <si>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</si>
  <si>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</si>
  <si>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</si>
  <si>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</si>
  <si>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</si>
  <si>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</si>
  <si>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</si>
  <si>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</si>
  <si>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</si>
  <si>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</si>
  <si>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</si>
  <si>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</si>
  <si>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</si>
  <si>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</si>
  <si>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</si>
  <si>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</si>
  <si>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</si>
  <si>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</si>
  <si>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</si>
  <si>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</si>
  <si>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</si>
  <si>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</si>
  <si>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</si>
  <si>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</si>
  <si>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</si>
  <si>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</si>
  <si>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</si>
  <si>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</si>
  <si>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</si>
  <si>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</si>
  <si>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</si>
  <si>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</si>
  <si>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</si>
  <si>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</si>
  <si>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</si>
  <si>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</si>
  <si>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</si>
  <si>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</si>
  <si>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</si>
  <si>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</si>
  <si>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</si>
  <si>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</si>
  <si>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</si>
  <si>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</si>
  <si>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</si>
  <si>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</si>
  <si>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</si>
  <si>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</si>
  <si>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</si>
  <si>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</si>
  <si>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</si>
  <si>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</si>
  <si>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</si>
  <si>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</si>
  <si>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</si>
  <si>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</si>
  <si>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</si>
  <si>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</si>
  <si>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</si>
  <si>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</si>
  <si>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</si>
  <si>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</si>
  <si>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</si>
  <si>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</si>
  <si>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</si>
  <si>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</si>
  <si>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</si>
  <si>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</si>
  <si>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</si>
  <si>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</si>
  <si>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</si>
  <si>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</si>
  <si>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</si>
  <si>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</si>
  <si>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</si>
  <si>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</si>
  <si>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</si>
  <si>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</si>
  <si>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</si>
  <si>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</si>
  <si>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</si>
  <si>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</si>
  <si>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</si>
  <si>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</si>
  <si>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</si>
  <si>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</si>
  <si>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</si>
  <si>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</si>
  <si>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</si>
  <si>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</si>
  <si>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</si>
  <si>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</si>
  <si>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</si>
  <si>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</si>
  <si>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</si>
  <si>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</si>
  <si>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</si>
  <si>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</si>
  <si>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</si>
  <si>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</si>
  <si>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</si>
  <si>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</si>
  <si>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</si>
  <si>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</si>
  <si>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</si>
  <si>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</si>
  <si>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</si>
  <si>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</si>
  <si>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</si>
  <si>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</si>
  <si>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</si>
  <si>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</si>
  <si>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</si>
  <si>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</si>
  <si>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</si>
  <si>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</si>
  <si>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</si>
  <si>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</si>
  <si>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</si>
  <si>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</si>
  <si>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</si>
  <si>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</si>
  <si>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</si>
  <si>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</si>
  <si>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</si>
  <si>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</si>
  <si>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</si>
  <si>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</si>
  <si>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</si>
  <si>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</si>
  <si>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</si>
  <si>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</si>
  <si>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</si>
  <si>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</si>
  <si>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</si>
  <si>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</si>
  <si>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</si>
  <si>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</si>
  <si>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</si>
  <si>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</si>
  <si>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</si>
  <si>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</si>
  <si>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</si>
  <si>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</si>
  <si>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</si>
  <si>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</si>
  <si>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</si>
  <si>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</si>
  <si>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</si>
  <si>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</si>
  <si>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</si>
  <si>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</si>
  <si>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</si>
  <si>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</si>
  <si>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</si>
  <si>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</si>
  <si>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</si>
  <si>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</si>
  <si>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</si>
  <si>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</si>
  <si>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</si>
  <si>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</si>
  <si>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</si>
  <si>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</si>
  <si>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</si>
  <si>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</si>
  <si>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</si>
  <si>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</si>
  <si>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</si>
  <si>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</si>
  <si>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</si>
  <si>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</si>
  <si>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</si>
  <si>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</si>
  <si>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</si>
  <si>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</si>
  <si>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</si>
  <si>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</si>
  <si>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</si>
  <si>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</si>
  <si>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</si>
  <si>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</si>
  <si>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</si>
  <si>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</si>
  <si>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</si>
  <si>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</si>
  <si>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</si>
  <si>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</si>
  <si>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</si>
  <si>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</si>
  <si>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</si>
  <si>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</si>
  <si>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</si>
  <si>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</si>
  <si>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</si>
  <si>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</si>
  <si>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</si>
  <si>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</si>
  <si>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</si>
  <si>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</si>
  <si>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</si>
  <si>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</si>
  <si>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</si>
  <si>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</si>
  <si>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</si>
  <si>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</si>
  <si>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</si>
  <si>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</si>
  <si>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</si>
  <si>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</si>
  <si>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</si>
  <si>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</si>
  <si>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</si>
  <si>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</si>
  <si>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</si>
  <si>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</si>
  <si>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</si>
  <si>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</si>
  <si>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</si>
  <si>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</si>
  <si>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</si>
  <si>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</si>
  <si>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</si>
  <si>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</si>
  <si>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</si>
  <si>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</si>
  <si>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</si>
  <si>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</si>
  <si>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</si>
  <si>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</si>
  <si>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</si>
  <si>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</si>
  <si>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</si>
  <si>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</si>
  <si>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</si>
  <si>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</si>
  <si>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</si>
  <si>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</si>
  <si>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</si>
  <si>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</si>
  <si>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</si>
  <si>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</si>
  <si>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</si>
  <si>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</si>
  <si>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</si>
  <si>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</si>
  <si>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</si>
  <si>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</si>
  <si>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</si>
  <si>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</si>
  <si>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</si>
  <si>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</si>
  <si>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</si>
  <si>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</si>
  <si>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</si>
  <si>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</si>
  <si>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</si>
  <si>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</si>
  <si>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</si>
  <si>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</si>
  <si>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</si>
  <si>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</si>
  <si>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</si>
  <si>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</si>
  <si>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</si>
  <si>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</si>
  <si>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</si>
  <si>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</si>
  <si>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</si>
  <si>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</si>
  <si>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</si>
  <si>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</si>
  <si>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</si>
  <si>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</si>
  <si>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</si>
  <si>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</si>
  <si>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</si>
  <si>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</si>
  <si>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</si>
  <si>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</si>
  <si>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</si>
  <si>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</si>
  <si>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</si>
  <si>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</si>
  <si>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</si>
  <si>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</si>
  <si>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</si>
  <si>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</si>
  <si>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</si>
  <si>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</si>
  <si>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</si>
  <si>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</si>
  <si>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</si>
  <si>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</si>
  <si>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</si>
  <si>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</si>
  <si>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</si>
  <si>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</si>
  <si>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</si>
  <si>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</si>
  <si>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</si>
  <si>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</si>
  <si>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</si>
  <si>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</si>
  <si>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</si>
  <si>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</si>
  <si>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</si>
  <si>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</si>
  <si>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</si>
  <si>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</si>
  <si>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</si>
  <si>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</si>
  <si>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</si>
  <si>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</si>
  <si>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</si>
  <si>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</si>
  <si>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</si>
  <si>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</si>
  <si>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</si>
  <si>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</si>
  <si>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</si>
  <si>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</si>
  <si>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</si>
  <si>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</si>
  <si>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</si>
  <si>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</si>
  <si>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</si>
  <si>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</si>
  <si>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</si>
  <si>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</si>
  <si>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</si>
  <si>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</si>
  <si>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</si>
  <si>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</si>
  <si>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</si>
  <si>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</si>
  <si>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</si>
  <si>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</si>
  <si>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</si>
  <si>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</si>
  <si>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</si>
  <si>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</si>
  <si>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</si>
  <si>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</si>
  <si>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</si>
  <si>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</si>
  <si>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</si>
  <si>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</si>
  <si>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</si>
  <si>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</si>
  <si>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</si>
  <si>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</si>
  <si>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</si>
  <si>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</si>
  <si>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</si>
  <si>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</si>
  <si>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</si>
  <si>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</si>
  <si>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</si>
  <si>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</si>
  <si>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</si>
  <si>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</si>
  <si>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</si>
  <si>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</si>
  <si>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</si>
  <si>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</si>
  <si>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</si>
  <si>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</si>
  <si>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</si>
  <si>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</si>
  <si>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</si>
  <si>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</si>
  <si>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</si>
  <si>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</si>
  <si>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</si>
  <si>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</si>
  <si>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</si>
  <si>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</si>
  <si>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</si>
  <si>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</si>
  <si>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</si>
  <si>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</si>
  <si>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</si>
  <si>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</si>
  <si>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</si>
  <si>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</si>
  <si>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</si>
  <si>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</si>
  <si>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</si>
  <si>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</si>
  <si>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</si>
  <si>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</si>
  <si>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</si>
  <si>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</si>
  <si>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</si>
  <si>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</si>
  <si>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</si>
  <si>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</si>
  <si>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</si>
  <si>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</si>
  <si>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</si>
  <si>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</si>
  <si>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</si>
  <si>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</si>
  <si>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</si>
  <si>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</si>
  <si>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</si>
  <si>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</si>
  <si>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</si>
  <si>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</si>
  <si>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</si>
  <si>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</si>
  <si>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</si>
  <si>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</si>
  <si>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</si>
  <si>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</si>
  <si>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</si>
  <si>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</si>
  <si>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</si>
  <si>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</si>
  <si>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</si>
  <si>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</si>
  <si>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</si>
  <si>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</si>
  <si>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</si>
  <si>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</si>
  <si>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</si>
  <si>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</si>
  <si>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</si>
  <si>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</si>
  <si>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</si>
  <si>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</si>
  <si>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</si>
  <si>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</si>
  <si>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</si>
  <si>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</si>
  <si>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</si>
  <si>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</si>
  <si>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</si>
  <si>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</si>
  <si>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</si>
  <si>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</si>
  <si>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</si>
  <si>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</si>
  <si>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</si>
  <si>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</si>
  <si>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</si>
  <si>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</si>
  <si>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</si>
  <si>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</si>
  <si>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</si>
  <si>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</si>
  <si>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</si>
  <si>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</si>
  <si>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</si>
  <si>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</si>
  <si>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</si>
  <si>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</si>
  <si>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</si>
  <si>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</si>
  <si>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</si>
  <si>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</si>
  <si>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</si>
  <si>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</si>
  <si>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</si>
  <si>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</si>
  <si>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</si>
  <si>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</si>
  <si>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</si>
  <si>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</si>
  <si>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</si>
  <si>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</si>
  <si>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</si>
  <si>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</si>
  <si>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</si>
  <si>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</si>
  <si>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</si>
  <si>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</si>
  <si>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</si>
  <si>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</si>
  <si>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</si>
  <si>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</si>
  <si>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</si>
  <si>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</si>
  <si>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</si>
  <si>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</si>
  <si>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</si>
  <si>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</si>
  <si>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</si>
  <si>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</si>
  <si>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</si>
  <si>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</si>
  <si>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</si>
  <si>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</si>
  <si>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</si>
  <si>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</si>
  <si>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</si>
  <si>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</si>
  <si>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</si>
  <si>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</si>
  <si>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</si>
  <si>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</si>
  <si>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</si>
  <si>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</si>
  <si>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</si>
  <si>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</si>
  <si>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</si>
  <si>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</si>
  <si>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</si>
  <si>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</si>
  <si>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</si>
  <si>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</si>
  <si>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</si>
  <si>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</si>
  <si>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</si>
  <si>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</si>
  <si>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</si>
  <si>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</si>
  <si>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</si>
  <si>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</si>
  <si>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</si>
  <si>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</si>
  <si>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</si>
  <si>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</si>
  <si>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</si>
  <si>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</si>
  <si>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</si>
  <si>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</si>
  <si>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</si>
  <si>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</si>
  <si>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</si>
  <si>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</si>
  <si>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</si>
  <si>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</si>
  <si>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</si>
  <si>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</si>
  <si>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</si>
  <si>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</si>
  <si>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</si>
  <si>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</si>
  <si>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</si>
  <si>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</si>
  <si>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</si>
  <si>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</si>
  <si>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</si>
  <si>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</si>
  <si>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</si>
  <si>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</si>
  <si>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</si>
  <si>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</si>
  <si>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</si>
  <si>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</si>
  <si>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</si>
  <si>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</si>
  <si>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</si>
  <si>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</si>
  <si>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</si>
  <si>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</si>
  <si>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</si>
  <si>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</si>
  <si>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</si>
  <si>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</si>
  <si>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</si>
  <si>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</si>
  <si>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</si>
  <si>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</si>
  <si>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</si>
  <si>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</si>
  <si>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</si>
  <si>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</si>
  <si>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</si>
  <si>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</si>
  <si>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</si>
  <si>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</si>
  <si>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</si>
  <si>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</si>
  <si>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</si>
  <si>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</si>
  <si>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</si>
  <si>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</si>
  <si>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</si>
  <si>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</si>
  <si>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</si>
  <si>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</si>
  <si>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</si>
  <si>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</si>
  <si>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</si>
  <si>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</si>
  <si>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</si>
  <si>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</si>
  <si>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</si>
  <si>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</si>
  <si>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</si>
  <si>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</si>
  <si>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</si>
  <si>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</si>
  <si>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</si>
  <si>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</si>
  <si>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</si>
  <si>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</si>
  <si>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</si>
  <si>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</si>
  <si>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</si>
  <si>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</si>
  <si>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</si>
  <si>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</si>
  <si>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</si>
  <si>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</si>
  <si>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</si>
  <si>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</si>
  <si>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</si>
  <si>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</si>
  <si>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</si>
  <si>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</si>
  <si>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</si>
  <si>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</si>
  <si>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</si>
  <si>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</si>
  <si>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</si>
  <si>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</si>
  <si>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</si>
  <si>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</si>
  <si>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</si>
  <si>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</si>
  <si>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</si>
  <si>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</si>
  <si>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</si>
  <si>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</si>
  <si>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</si>
  <si>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</si>
  <si>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</si>
  <si>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</si>
  <si>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</si>
  <si>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</si>
  <si>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</si>
  <si>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</si>
  <si>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</si>
  <si>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</si>
  <si>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</si>
  <si>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</si>
  <si>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</si>
  <si>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</si>
  <si>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</si>
  <si>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</si>
  <si>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</si>
  <si>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</si>
  <si>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</si>
  <si>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</si>
  <si>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</si>
  <si>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</si>
  <si>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</si>
  <si>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</si>
  <si>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</si>
  <si>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</si>
  <si>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</si>
  <si>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</si>
  <si>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</si>
  <si>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</si>
  <si>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</si>
  <si>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</si>
  <si>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</si>
  <si>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</si>
  <si>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</si>
  <si>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</si>
  <si>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</si>
  <si>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</si>
  <si>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</si>
  <si>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</si>
  <si>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</si>
  <si>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</si>
  <si>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</si>
  <si>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</si>
  <si>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</si>
  <si>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</si>
  <si>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</si>
  <si>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</si>
  <si>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</si>
  <si>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</si>
  <si>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</si>
  <si>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</si>
  <si>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</si>
  <si>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</si>
  <si>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</si>
  <si>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</si>
  <si>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</si>
  <si>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</si>
  <si>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</si>
  <si>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</si>
  <si>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</si>
  <si>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</si>
  <si>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</si>
  <si>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</si>
  <si>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</si>
  <si>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</si>
  <si>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</si>
  <si>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</si>
  <si>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</si>
  <si>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</si>
  <si>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</si>
  <si>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</si>
  <si>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</si>
  <si>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</si>
  <si>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</si>
  <si>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</si>
  <si>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</si>
  <si>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</si>
  <si>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</si>
  <si>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</si>
  <si>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</si>
  <si>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</si>
  <si>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</si>
  <si>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</si>
  <si>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</si>
  <si>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</si>
  <si>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</si>
  <si>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</si>
  <si>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</si>
  <si>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</si>
  <si>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</si>
  <si>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</si>
  <si>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</si>
  <si>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</si>
  <si>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</si>
  <si>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</si>
  <si>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</si>
  <si>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</si>
  <si>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</si>
  <si>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</si>
  <si>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</si>
  <si>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</si>
  <si>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</si>
  <si>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</si>
  <si>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</si>
  <si>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</si>
  <si>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</si>
  <si>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</si>
  <si>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</si>
  <si>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</si>
  <si>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</si>
  <si>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</si>
  <si>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</si>
  <si>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</si>
  <si>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</si>
  <si>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</si>
  <si>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</si>
  <si>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</si>
  <si>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</si>
  <si>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</si>
  <si>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</si>
  <si>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</si>
  <si>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</si>
  <si>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</si>
  <si>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</si>
  <si>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</si>
  <si>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</si>
  <si>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</si>
  <si>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</si>
  <si>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</si>
  <si>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</si>
  <si>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</si>
  <si>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</si>
  <si>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</si>
  <si>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</si>
  <si>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</si>
  <si>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</si>
  <si>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</si>
  <si>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</si>
  <si>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</si>
  <si>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</si>
  <si>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</si>
  <si>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</si>
  <si>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</si>
  <si>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</si>
  <si>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</si>
  <si>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</si>
  <si>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</si>
  <si>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</si>
  <si>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</si>
  <si>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</si>
  <si>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</si>
  <si>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</si>
  <si>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</si>
  <si>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</si>
  <si>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</si>
  <si>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</si>
  <si>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</si>
  <si>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</si>
  <si>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</si>
  <si>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</si>
  <si>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</si>
  <si>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</si>
  <si>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</si>
  <si>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</si>
  <si>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</si>
  <si>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</si>
  <si>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</si>
  <si>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</si>
  <si>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</si>
  <si>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</si>
  <si>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</si>
  <si>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</si>
  <si>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</si>
  <si>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</si>
  <si>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</si>
  <si>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</si>
  <si>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</si>
  <si>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</si>
  <si>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</si>
  <si>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</si>
  <si>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</si>
  <si>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</si>
  <si>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</si>
  <si>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</si>
  <si>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</si>
  <si>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</si>
  <si>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</si>
  <si>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</si>
  <si>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</si>
  <si>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</si>
  <si>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</si>
  <si>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</si>
  <si>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</si>
  <si>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</si>
  <si>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</si>
  <si>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</si>
  <si>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</si>
  <si>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</si>
  <si>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</si>
  <si>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</si>
  <si>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</si>
  <si>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</si>
  <si>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</si>
  <si>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</si>
  <si>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</si>
  <si>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</si>
  <si>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</si>
  <si>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</si>
  <si>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</si>
  <si>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</si>
  <si>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</si>
  <si>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</si>
  <si>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</si>
  <si>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</si>
  <si>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</si>
  <si>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</si>
  <si>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</si>
  <si>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</si>
  <si>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</si>
  <si>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</si>
  <si>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</si>
  <si>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</si>
  <si>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</si>
  <si>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</si>
  <si>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</si>
  <si>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</si>
  <si>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</si>
  <si>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</si>
  <si>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</si>
  <si>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</si>
  <si>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</si>
  <si>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</si>
  <si>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</si>
  <si>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</si>
  <si>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</si>
  <si>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</si>
  <si>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</si>
  <si>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</si>
  <si>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</si>
  <si>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</si>
  <si>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</si>
  <si>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</si>
  <si>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</si>
  <si>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</si>
  <si>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</si>
  <si>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</si>
  <si>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</si>
  <si>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</si>
  <si>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</si>
  <si>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</si>
  <si>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</si>
  <si>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</si>
  <si>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</si>
  <si>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</si>
  <si>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</si>
  <si>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</si>
  <si>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</si>
  <si>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</si>
  <si>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</si>
  <si>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</si>
  <si>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</si>
  <si>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</si>
  <si>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</si>
  <si>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</si>
  <si>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</si>
  <si>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</si>
  <si>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</si>
  <si>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</si>
  <si>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</si>
  <si>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</si>
  <si>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</si>
  <si>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</si>
  <si>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</si>
  <si>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</si>
  <si>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</si>
  <si>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</si>
  <si>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</si>
  <si>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</si>
  <si>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</si>
  <si>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</si>
  <si>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</si>
  <si>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</si>
  <si>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</si>
  <si>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</si>
  <si>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</si>
  <si>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</si>
  <si>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</si>
  <si>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</si>
  <si>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</si>
  <si>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</si>
  <si>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</si>
  <si>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</si>
  <si>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</si>
  <si>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</si>
  <si>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</si>
  <si>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</si>
  <si>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</si>
  <si>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</si>
  <si>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</si>
  <si>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</si>
  <si>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</si>
  <si>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</si>
  <si>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</si>
  <si>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</si>
  <si>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</si>
  <si>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</si>
  <si>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</si>
  <si>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</si>
  <si>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</si>
  <si>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</si>
  <si>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</si>
  <si>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</si>
  <si>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</si>
  <si>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</si>
  <si>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</si>
  <si>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</si>
  <si>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</si>
  <si>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</si>
  <si>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</si>
  <si>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</si>
  <si>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</si>
  <si>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</si>
  <si>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</si>
  <si>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</si>
  <si>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</si>
  <si>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</si>
  <si>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</si>
  <si>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</si>
  <si>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</si>
  <si>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</si>
  <si>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</si>
  <si>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</si>
  <si>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</si>
  <si>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</si>
  <si>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</si>
  <si>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</si>
  <si>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</si>
  <si>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</si>
  <si>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</si>
  <si>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</si>
  <si>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</si>
  <si>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</si>
  <si>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</si>
  <si>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</si>
  <si>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</si>
  <si>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</si>
  <si>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</si>
  <si>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</si>
  <si>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</si>
  <si>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</si>
  <si>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</si>
  <si>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</si>
  <si>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</si>
  <si>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</si>
  <si>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</si>
  <si>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</si>
  <si>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</si>
  <si>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</si>
  <si>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</si>
  <si>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</si>
  <si>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</si>
  <si>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</si>
  <si>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</si>
  <si>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</si>
  <si>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</si>
  <si>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</si>
  <si>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</si>
  <si>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</si>
  <si>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</si>
  <si>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</si>
  <si>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</si>
  <si>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</si>
  <si>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</si>
  <si>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</si>
  <si>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</si>
  <si>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</si>
  <si>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</si>
  <si>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</si>
  <si>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</si>
  <si>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</si>
  <si>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</si>
  <si>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</si>
  <si>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</si>
  <si>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</si>
  <si>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</si>
  <si>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</si>
  <si>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</si>
  <si>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</si>
  <si>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</si>
  <si>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</si>
  <si>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</si>
  <si>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</si>
  <si>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</si>
  <si>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</si>
  <si>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</si>
  <si>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</si>
  <si>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</si>
  <si>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</si>
  <si>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</si>
  <si>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</si>
  <si>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</si>
  <si>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</si>
  <si>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</si>
  <si>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</si>
  <si>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</si>
  <si>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</si>
  <si>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</si>
  <si>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</si>
  <si>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</si>
  <si>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</si>
  <si>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</si>
  <si>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</si>
  <si>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</si>
  <si>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</si>
  <si>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</si>
  <si>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</si>
  <si>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</si>
  <si>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</si>
  <si>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</si>
  <si>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</si>
  <si>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</si>
  <si>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</si>
  <si>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</si>
  <si>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</si>
  <si>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</si>
  <si>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</si>
  <si>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</si>
  <si>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</si>
  <si>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</si>
  <si>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</si>
  <si>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</si>
  <si>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</si>
  <si>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</si>
  <si>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</si>
  <si>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</si>
  <si>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</si>
  <si>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</si>
  <si>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</si>
  <si>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</si>
  <si>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</si>
  <si>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</si>
  <si>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</si>
  <si>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</si>
  <si>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</si>
  <si>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</si>
  <si>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</si>
  <si>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</si>
  <si>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</si>
  <si>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</si>
  <si>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</si>
  <si>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</si>
  <si>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</si>
  <si>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</si>
  <si>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</si>
  <si>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</si>
  <si>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</si>
  <si>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</si>
  <si>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</si>
  <si>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</si>
  <si>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</si>
  <si>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</si>
  <si>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</si>
  <si>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</si>
  <si>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</si>
  <si>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</si>
  <si>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</si>
  <si>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</si>
  <si>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</si>
  <si>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</si>
  <si>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</si>
  <si>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</si>
  <si>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</si>
  <si>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</si>
  <si>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</si>
  <si>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</si>
  <si>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</si>
  <si>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</si>
  <si>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</si>
  <si>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</si>
  <si>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</si>
  <si>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</si>
  <si>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</si>
  <si>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</si>
  <si>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</si>
  <si>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</si>
  <si>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</si>
  <si>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</si>
  <si>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</si>
  <si>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</si>
  <si>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</si>
  <si>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</si>
  <si>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</si>
  <si>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</si>
  <si>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</si>
  <si>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</si>
  <si>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</si>
  <si>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</si>
  <si>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</si>
  <si>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</si>
  <si>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</si>
  <si>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</si>
  <si>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</si>
  <si>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</si>
  <si>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</si>
  <si>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</si>
  <si>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</si>
  <si>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</si>
  <si>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</si>
  <si>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</si>
  <si>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</si>
  <si>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</si>
  <si>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</si>
  <si>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</si>
  <si>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</si>
  <si>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</si>
  <si>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</si>
  <si>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</si>
  <si>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</si>
  <si>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</si>
  <si>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</si>
  <si>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</si>
  <si>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</si>
  <si>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</si>
  <si>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</si>
  <si>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</si>
  <si>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</si>
  <si>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</si>
  <si>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</si>
  <si>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</si>
  <si>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</si>
  <si>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</si>
  <si>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</si>
  <si>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</si>
  <si>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</si>
  <si>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</si>
  <si>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</si>
  <si>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</si>
  <si>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</si>
  <si>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</si>
  <si>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</si>
  <si>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</si>
  <si>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</si>
  <si>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</si>
  <si>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</si>
  <si>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</si>
  <si>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</si>
  <si>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</si>
  <si>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</si>
  <si>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</si>
  <si>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</si>
  <si>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</si>
  <si>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</si>
  <si>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</si>
  <si>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</si>
  <si>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</si>
  <si>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</si>
  <si>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</si>
  <si>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</si>
  <si>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</si>
  <si>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</si>
  <si>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</si>
  <si>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</si>
  <si>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</si>
  <si>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</si>
  <si>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</si>
  <si>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</si>
  <si>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</si>
  <si>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</si>
  <si>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</si>
  <si>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</si>
  <si>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</si>
  <si>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</si>
  <si>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</si>
  <si>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</si>
  <si>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</si>
  <si>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</si>
  <si>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</si>
  <si>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</si>
  <si>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</si>
  <si>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</si>
  <si>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</si>
  <si>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</si>
  <si>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</si>
  <si>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</si>
  <si>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</si>
  <si>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</si>
  <si>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</si>
  <si>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</si>
  <si>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</si>
  <si>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</si>
  <si>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</si>
  <si>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</si>
  <si>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</si>
  <si>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</si>
  <si>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</si>
  <si>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</si>
  <si>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</si>
  <si>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</si>
  <si>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</si>
  <si>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</si>
  <si>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</si>
  <si>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</si>
  <si>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</si>
  <si>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</si>
  <si>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</si>
  <si>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</si>
  <si>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</si>
  <si>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</si>
  <si>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</si>
  <si>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</si>
  <si>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</si>
  <si>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</si>
  <si>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</si>
  <si>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</si>
  <si>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</si>
  <si>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</si>
  <si>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</si>
  <si>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</si>
  <si>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</si>
  <si>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</si>
  <si>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</si>
  <si>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</si>
  <si>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</si>
  <si>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</si>
  <si>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</si>
  <si>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</si>
  <si>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</si>
  <si>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</si>
  <si>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</si>
  <si>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</si>
  <si>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</si>
  <si>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</si>
  <si>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</si>
  <si>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</si>
  <si>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</si>
  <si>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</si>
  <si>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</si>
  <si>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</si>
  <si>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</si>
  <si>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</si>
  <si>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</si>
  <si>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</si>
  <si>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</si>
  <si>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</si>
  <si>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</si>
  <si>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</si>
  <si>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</si>
  <si>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</si>
  <si>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</si>
  <si>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</si>
  <si>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</si>
  <si>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</si>
  <si>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</si>
  <si>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</si>
  <si>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</si>
  <si>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</si>
  <si>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</si>
  <si>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</si>
  <si>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</si>
  <si>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</si>
  <si>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</si>
  <si>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</si>
  <si>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</si>
  <si>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</si>
  <si>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</si>
  <si>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</si>
  <si>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</si>
  <si>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</si>
  <si>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</si>
  <si>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</si>
  <si>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</si>
  <si>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</si>
  <si>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</si>
  <si>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</si>
  <si>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</si>
  <si>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</si>
  <si>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</si>
  <si>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</si>
  <si>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</si>
  <si>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</si>
  <si>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</si>
  <si>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</si>
  <si>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</si>
  <si>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</si>
  <si>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</si>
  <si>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</si>
  <si>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</si>
  <si>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</si>
  <si>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</si>
  <si>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</si>
  <si>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</si>
  <si>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</si>
  <si>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</si>
  <si>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</si>
  <si>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</si>
  <si>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</si>
  <si>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</si>
  <si>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</si>
  <si>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</si>
  <si>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</si>
  <si>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</si>
  <si>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</si>
  <si>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</si>
  <si>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</si>
  <si>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</si>
  <si>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</si>
  <si>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</si>
  <si>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</si>
  <si>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</si>
  <si>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</si>
  <si>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</si>
  <si>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</si>
  <si>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</si>
  <si>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</si>
  <si>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</si>
  <si>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</si>
  <si>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</si>
  <si>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</si>
  <si>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</si>
  <si>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</si>
  <si>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</si>
  <si>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</si>
  <si>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</si>
  <si>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</si>
  <si>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</si>
  <si>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</si>
  <si>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</si>
  <si>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</si>
  <si>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</si>
  <si>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</si>
  <si>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</si>
  <si>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</si>
  <si>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</si>
  <si>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</si>
  <si>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</si>
  <si>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</si>
  <si>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</si>
  <si>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</si>
  <si>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</si>
  <si>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</si>
  <si>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</si>
  <si>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</si>
  <si>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</si>
  <si>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</si>
  <si>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</si>
  <si>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</si>
  <si>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</si>
  <si>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</si>
  <si>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</si>
  <si>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</si>
  <si>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</si>
  <si>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</si>
  <si>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</si>
  <si>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</si>
  <si>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</si>
  <si>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</si>
  <si>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</si>
  <si>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orders</t>
  </si>
  <si>
    <t>amount</t>
  </si>
  <si>
    <t>avg rating</t>
  </si>
  <si>
    <t xml:space="preserve">avg days </t>
  </si>
  <si>
    <t>quantity</t>
  </si>
  <si>
    <t>for trends</t>
  </si>
  <si>
    <t>Row Labels</t>
  </si>
  <si>
    <t>Grand Total</t>
  </si>
  <si>
    <t>Column Labels</t>
  </si>
  <si>
    <t>Female</t>
  </si>
  <si>
    <t>Male</t>
  </si>
  <si>
    <t>Other</t>
  </si>
  <si>
    <t>Unknown</t>
  </si>
  <si>
    <t>for matrix</t>
  </si>
  <si>
    <t>order qty analysis</t>
  </si>
  <si>
    <t>6 to 10</t>
  </si>
  <si>
    <t>More than 10</t>
  </si>
  <si>
    <t>products by qauntity</t>
  </si>
  <si>
    <t>for amount</t>
  </si>
  <si>
    <t>for qty</t>
  </si>
  <si>
    <t xml:space="preserve"> Amount</t>
  </si>
  <si>
    <t>shipment suring analysis</t>
  </si>
  <si>
    <t>customer satisfaction</t>
  </si>
  <si>
    <t>Jan</t>
  </si>
  <si>
    <t>Feb</t>
  </si>
  <si>
    <t>Mar</t>
  </si>
  <si>
    <t>k</t>
  </si>
  <si>
    <t xml:space="preserve">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</si>
</sst>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1">
    <border>
      <left/>
      <right/>
      <top/>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style="thick">
        <color theme="0"/>
      </top>
      <bottom style="thick">
        <color theme="0"/>
      </bottom>
      <diagonal/>
    </border>
    <border>
      <left style="thick">
        <color theme="0"/>
      </left>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n">
        <color theme="4" tint="0.39997558519241921"/>
      </bottom>
      <diagonal/>
    </border>
  </borders>
  <cellStyleXfs count="1">
    <xf numFmtId="0" fontId="0" fillId="0" borderId="0"/>
  </cellStyleXfs>
  <cellXfs count="2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165" fontId="0" fillId="0" borderId="5" xfId="0" applyNumberFormat="1" applyBorder="1"/>
    <xf numFmtId="165" fontId="0" fillId="0" borderId="6" xfId="0" applyNumberFormat="1" applyBorder="1"/>
    <xf numFmtId="0" fontId="0" fillId="0" borderId="7" xfId="0" applyBorder="1"/>
    <xf numFmtId="165" fontId="0" fillId="0" borderId="8" xfId="0" applyNumberFormat="1" applyBorder="1"/>
    <xf numFmtId="165" fontId="0" fillId="0" borderId="9" xfId="0" applyNumberFormat="1" applyBorder="1"/>
    <xf numFmtId="0" fontId="1" fillId="3" borderId="10" xfId="0" applyFont="1" applyFill="1" applyBorder="1"/>
    <xf numFmtId="0" fontId="1" fillId="0" borderId="0" xfId="0" applyFont="1"/>
    <xf numFmtId="0" fontId="0" fillId="0" borderId="0" xfId="0" applyFont="1"/>
    <xf numFmtId="0" fontId="0" fillId="0" borderId="0" xfId="0" applyNumberFormat="1" applyFon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excel.xlsx]pivots!trends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Last</a:t>
            </a:r>
            <a:r>
              <a:rPr lang="en-IN" b="1" baseline="0">
                <a:solidFill>
                  <a:schemeClr val="tx1"/>
                </a:solidFill>
              </a:rPr>
              <a:t> 13 Week Trend - Qty &amp; Amount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pivots!$B$9</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pivots!$B$10:$B$23</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1DAA-4BCA-B943-3B9E632E3642}"/>
            </c:ext>
          </c:extLst>
        </c:ser>
        <c:dLbls>
          <c:showLegendKey val="0"/>
          <c:showVal val="0"/>
          <c:showCatName val="0"/>
          <c:showSerName val="0"/>
          <c:showPercent val="0"/>
          <c:showBubbleSize val="0"/>
        </c:dLbls>
        <c:marker val="1"/>
        <c:smooth val="0"/>
        <c:axId val="904190991"/>
        <c:axId val="904191471"/>
      </c:lineChart>
      <c:lineChart>
        <c:grouping val="standard"/>
        <c:varyColors val="0"/>
        <c:ser>
          <c:idx val="1"/>
          <c:order val="1"/>
          <c:tx>
            <c:strRef>
              <c:f>pivots!$C$9</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pivots!$C$10:$C$23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1DAA-4BCA-B943-3B9E632E3642}"/>
            </c:ext>
          </c:extLst>
        </c:ser>
        <c:dLbls>
          <c:showLegendKey val="0"/>
          <c:showVal val="0"/>
          <c:showCatName val="0"/>
          <c:showSerName val="0"/>
          <c:showPercent val="0"/>
          <c:showBubbleSize val="0"/>
        </c:dLbls>
        <c:marker val="1"/>
        <c:smooth val="0"/>
        <c:axId val="1099970175"/>
        <c:axId val="1099962015"/>
      </c:lineChart>
      <c:catAx>
        <c:axId val="90419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91471"/>
        <c:crosses val="autoZero"/>
        <c:auto val="1"/>
        <c:lblAlgn val="ctr"/>
        <c:lblOffset val="100"/>
        <c:noMultiLvlLbl val="0"/>
      </c:catAx>
      <c:valAx>
        <c:axId val="904191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190991"/>
        <c:crosses val="autoZero"/>
        <c:crossBetween val="between"/>
      </c:valAx>
      <c:valAx>
        <c:axId val="10999620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970175"/>
        <c:crosses val="max"/>
        <c:crossBetween val="between"/>
      </c:valAx>
      <c:catAx>
        <c:axId val="1099970175"/>
        <c:scaling>
          <c:orientation val="minMax"/>
        </c:scaling>
        <c:delete val="1"/>
        <c:axPos val="b"/>
        <c:numFmt formatCode="General" sourceLinked="1"/>
        <c:majorTickMark val="out"/>
        <c:minorTickMark val="none"/>
        <c:tickLblPos val="nextTo"/>
        <c:crossAx val="109996201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excel.xlsx]pivots!order qty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pivots!$B$27</c:f>
              <c:strCache>
                <c:ptCount val="1"/>
                <c:pt idx="0">
                  <c:v>Total</c:v>
                </c:pt>
              </c:strCache>
            </c:strRef>
          </c:tx>
          <c:spPr>
            <a:solidFill>
              <a:schemeClr val="accent1"/>
            </a:solidFill>
            <a:ln>
              <a:solidFill>
                <a:schemeClr val="bg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pivots!$A$28:$A$35</c:f>
              <c:strCache>
                <c:ptCount val="7"/>
                <c:pt idx="0">
                  <c:v>1</c:v>
                </c:pt>
                <c:pt idx="1">
                  <c:v>2</c:v>
                </c:pt>
                <c:pt idx="2">
                  <c:v>3</c:v>
                </c:pt>
                <c:pt idx="3">
                  <c:v>4</c:v>
                </c:pt>
                <c:pt idx="4">
                  <c:v>5</c:v>
                </c:pt>
                <c:pt idx="5">
                  <c:v>6 to 10</c:v>
                </c:pt>
                <c:pt idx="6">
                  <c:v>More than 10</c:v>
                </c:pt>
              </c:strCache>
            </c:strRef>
          </c:cat>
          <c:val>
            <c:numRef>
              <c:f>pivots!$B$28:$B$35</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0441-41CD-AAB5-26EDC3284B71}"/>
            </c:ext>
          </c:extLst>
        </c:ser>
        <c:dLbls>
          <c:dLblPos val="outEnd"/>
          <c:showLegendKey val="0"/>
          <c:showVal val="1"/>
          <c:showCatName val="0"/>
          <c:showSerName val="0"/>
          <c:showPercent val="0"/>
          <c:showBubbleSize val="0"/>
        </c:dLbls>
        <c:gapWidth val="0"/>
        <c:overlap val="-27"/>
        <c:axId val="501590656"/>
        <c:axId val="501592096"/>
      </c:barChart>
      <c:catAx>
        <c:axId val="501590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592096"/>
        <c:crosses val="autoZero"/>
        <c:auto val="1"/>
        <c:lblAlgn val="ctr"/>
        <c:lblOffset val="100"/>
        <c:noMultiLvlLbl val="0"/>
      </c:catAx>
      <c:valAx>
        <c:axId val="501592096"/>
        <c:scaling>
          <c:orientation val="minMax"/>
        </c:scaling>
        <c:delete val="1"/>
        <c:axPos val="l"/>
        <c:numFmt formatCode="General" sourceLinked="1"/>
        <c:majorTickMark val="out"/>
        <c:minorTickMark val="none"/>
        <c:tickLblPos val="nextTo"/>
        <c:crossAx val="501590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excel.xlsx]pivots!product</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Which</a:t>
            </a:r>
            <a:r>
              <a:rPr lang="en-IN" b="1" baseline="0">
                <a:solidFill>
                  <a:schemeClr val="tx1"/>
                </a:solidFill>
              </a:rPr>
              <a:t> products are popular? </a:t>
            </a:r>
            <a:r>
              <a:rPr lang="en-IN" baseline="0"/>
              <a:t>Breakdown by gender</a:t>
            </a:r>
            <a:endParaRPr lang="en-IN"/>
          </a:p>
        </c:rich>
      </c:tx>
      <c:layout>
        <c:manualLayout>
          <c:xMode val="edge"/>
          <c:yMode val="edge"/>
          <c:x val="0.13250591430764297"/>
          <c:y val="2.59667184365336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pivots!$B$40:$B$41</c:f>
              <c:strCache>
                <c:ptCount val="1"/>
                <c:pt idx="0">
                  <c:v>Female</c:v>
                </c:pt>
              </c:strCache>
            </c:strRef>
          </c:tx>
          <c:spPr>
            <a:solidFill>
              <a:schemeClr val="accent1"/>
            </a:solidFill>
            <a:ln>
              <a:noFill/>
            </a:ln>
            <a:effectLst/>
          </c:spPr>
          <c:invertIfNegative val="0"/>
          <c:cat>
            <c:strRef>
              <c:f>pivots!$A$42:$A$62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pivots!$B$42:$B$62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96FA-4D25-8690-CD4653A7FB80}"/>
            </c:ext>
          </c:extLst>
        </c:ser>
        <c:ser>
          <c:idx val="1"/>
          <c:order val="1"/>
          <c:tx>
            <c:strRef>
              <c:f>pivots!$C$40:$C$41</c:f>
              <c:strCache>
                <c:ptCount val="1"/>
                <c:pt idx="0">
                  <c:v>Male</c:v>
                </c:pt>
              </c:strCache>
            </c:strRef>
          </c:tx>
          <c:spPr>
            <a:solidFill>
              <a:schemeClr val="accent2"/>
            </a:solidFill>
            <a:ln>
              <a:noFill/>
            </a:ln>
            <a:effectLst/>
          </c:spPr>
          <c:invertIfNegative val="0"/>
          <c:cat>
            <c:strRef>
              <c:f>pivots!$A$42:$A$62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pivots!$C$42:$C$62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96FA-4D25-8690-CD4653A7FB80}"/>
            </c:ext>
          </c:extLst>
        </c:ser>
        <c:ser>
          <c:idx val="2"/>
          <c:order val="2"/>
          <c:tx>
            <c:strRef>
              <c:f>pivots!$D$40:$D$41</c:f>
              <c:strCache>
                <c:ptCount val="1"/>
                <c:pt idx="0">
                  <c:v>Other</c:v>
                </c:pt>
              </c:strCache>
            </c:strRef>
          </c:tx>
          <c:spPr>
            <a:solidFill>
              <a:schemeClr val="accent3"/>
            </a:solidFill>
            <a:ln>
              <a:noFill/>
            </a:ln>
            <a:effectLst/>
          </c:spPr>
          <c:invertIfNegative val="0"/>
          <c:cat>
            <c:strRef>
              <c:f>pivots!$A$42:$A$62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pivots!$D$42:$D$62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96FA-4D25-8690-CD4653A7FB80}"/>
            </c:ext>
          </c:extLst>
        </c:ser>
        <c:ser>
          <c:idx val="3"/>
          <c:order val="3"/>
          <c:tx>
            <c:strRef>
              <c:f>pivots!$E$40:$E$41</c:f>
              <c:strCache>
                <c:ptCount val="1"/>
                <c:pt idx="0">
                  <c:v>Unknown</c:v>
                </c:pt>
              </c:strCache>
            </c:strRef>
          </c:tx>
          <c:spPr>
            <a:solidFill>
              <a:schemeClr val="accent4"/>
            </a:solidFill>
            <a:ln>
              <a:noFill/>
            </a:ln>
            <a:effectLst/>
          </c:spPr>
          <c:invertIfNegative val="0"/>
          <c:cat>
            <c:strRef>
              <c:f>pivots!$A$42:$A$62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pivots!$E$42:$E$62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96FA-4D25-8690-CD4653A7FB80}"/>
            </c:ext>
          </c:extLst>
        </c:ser>
        <c:dLbls>
          <c:showLegendKey val="0"/>
          <c:showVal val="0"/>
          <c:showCatName val="0"/>
          <c:showSerName val="0"/>
          <c:showPercent val="0"/>
          <c:showBubbleSize val="0"/>
        </c:dLbls>
        <c:gapWidth val="10"/>
        <c:overlap val="100"/>
        <c:axId val="672059040"/>
        <c:axId val="672052320"/>
      </c:barChart>
      <c:catAx>
        <c:axId val="67205904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052320"/>
        <c:crosses val="autoZero"/>
        <c:auto val="1"/>
        <c:lblAlgn val="ctr"/>
        <c:lblOffset val="100"/>
        <c:noMultiLvlLbl val="0"/>
      </c:catAx>
      <c:valAx>
        <c:axId val="67205232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05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excel.xlsx]pivots!gender</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9485338932294596"/>
              <c:y val="-5.67037696844680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298642166351953"/>
                  <c:h val="0.33842538056945626"/>
                </c:manualLayout>
              </c15:layout>
            </c:ext>
          </c:extLst>
        </c:dLbl>
      </c:pivotFmt>
      <c:pivotFmt>
        <c:idx val="8"/>
        <c:spPr>
          <a:solidFill>
            <a:schemeClr val="accent1"/>
          </a:solidFill>
          <a:ln w="19050">
            <a:solidFill>
              <a:schemeClr val="lt1"/>
            </a:solidFill>
          </a:ln>
          <a:effectLst/>
        </c:spPr>
        <c:dLbl>
          <c:idx val="0"/>
          <c:layout>
            <c:manualLayout>
              <c:x val="-0.10857634122301052"/>
              <c:y val="0.2160906635570398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872242534045094"/>
                  <c:h val="0.19379816907008723"/>
                </c:manualLayout>
              </c15:layout>
            </c:ext>
          </c:extLst>
        </c:dLbl>
      </c:pivotFmt>
      <c:pivotFmt>
        <c:idx val="9"/>
        <c:spPr>
          <a:solidFill>
            <a:schemeClr val="accent1"/>
          </a:solidFill>
          <a:ln w="19050">
            <a:solidFill>
              <a:schemeClr val="lt1"/>
            </a:solidFill>
          </a:ln>
          <a:effectLst/>
        </c:spPr>
        <c:dLbl>
          <c:idx val="0"/>
          <c:layout>
            <c:manualLayout>
              <c:x val="-0.20142085762146392"/>
              <c:y val="-3.15020942691489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800085112481551"/>
              <c:y val="-0.125559201106610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5629784499930475"/>
                  <c:h val="0.21461538533846072"/>
                </c:manualLayout>
              </c15:layout>
            </c:ext>
          </c:extLst>
        </c:dLbl>
      </c:pivotFmt>
    </c:pivotFmts>
    <c:plotArea>
      <c:layout>
        <c:manualLayout>
          <c:layoutTarget val="inner"/>
          <c:xMode val="edge"/>
          <c:yMode val="edge"/>
          <c:x val="0.30010312113513815"/>
          <c:y val="0.18825492335037025"/>
          <c:w val="0.41590742633944078"/>
          <c:h val="0.72129977880061635"/>
        </c:manualLayout>
      </c:layout>
      <c:doughnutChart>
        <c:varyColors val="1"/>
        <c:ser>
          <c:idx val="0"/>
          <c:order val="0"/>
          <c:tx>
            <c:strRef>
              <c:f>pivots!$I$40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60-4068-BF1B-0C113B6ECD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60-4068-BF1B-0C113B6ECD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60-4068-BF1B-0C113B6ECD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60-4068-BF1B-0C113B6ECDE8}"/>
              </c:ext>
            </c:extLst>
          </c:dPt>
          <c:dLbls>
            <c:dLbl>
              <c:idx val="0"/>
              <c:layout>
                <c:manualLayout>
                  <c:x val="0.19485338932294596"/>
                  <c:y val="-5.6703769684468081E-2"/>
                </c:manualLayout>
              </c:layout>
              <c:showLegendKey val="0"/>
              <c:showVal val="1"/>
              <c:showCatName val="1"/>
              <c:showSerName val="0"/>
              <c:showPercent val="1"/>
              <c:showBubbleSize val="0"/>
              <c:extLst>
                <c:ext xmlns:c15="http://schemas.microsoft.com/office/drawing/2012/chart" uri="{CE6537A1-D6FC-4f65-9D91-7224C49458BB}">
                  <c15:layout>
                    <c:manualLayout>
                      <c:w val="0.25298642166351953"/>
                      <c:h val="0.33842538056945626"/>
                    </c:manualLayout>
                  </c15:layout>
                </c:ext>
                <c:ext xmlns:c16="http://schemas.microsoft.com/office/drawing/2014/chart" uri="{C3380CC4-5D6E-409C-BE32-E72D297353CC}">
                  <c16:uniqueId val="{00000001-6F60-4068-BF1B-0C113B6ECDE8}"/>
                </c:ext>
              </c:extLst>
            </c:dLbl>
            <c:dLbl>
              <c:idx val="1"/>
              <c:layout>
                <c:manualLayout>
                  <c:x val="-0.10857634122301052"/>
                  <c:y val="0.2160906635570398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7872242534045094"/>
                      <c:h val="0.19379816907008723"/>
                    </c:manualLayout>
                  </c15:layout>
                </c:ext>
                <c:ext xmlns:c16="http://schemas.microsoft.com/office/drawing/2014/chart" uri="{C3380CC4-5D6E-409C-BE32-E72D297353CC}">
                  <c16:uniqueId val="{00000003-6F60-4068-BF1B-0C113B6ECDE8}"/>
                </c:ext>
              </c:extLst>
            </c:dLbl>
            <c:dLbl>
              <c:idx val="2"/>
              <c:layout>
                <c:manualLayout>
                  <c:x val="-0.20142085762146392"/>
                  <c:y val="-3.150209426914893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60-4068-BF1B-0C113B6ECDE8}"/>
                </c:ext>
              </c:extLst>
            </c:dLbl>
            <c:dLbl>
              <c:idx val="3"/>
              <c:layout>
                <c:manualLayout>
                  <c:x val="0.10800085112481551"/>
                  <c:y val="-0.12555920110661056"/>
                </c:manualLayout>
              </c:layout>
              <c:showLegendKey val="0"/>
              <c:showVal val="1"/>
              <c:showCatName val="1"/>
              <c:showSerName val="0"/>
              <c:showPercent val="1"/>
              <c:showBubbleSize val="0"/>
              <c:extLst>
                <c:ext xmlns:c15="http://schemas.microsoft.com/office/drawing/2012/chart" uri="{CE6537A1-D6FC-4f65-9D91-7224C49458BB}">
                  <c15:layout>
                    <c:manualLayout>
                      <c:w val="0.25629784499930475"/>
                      <c:h val="0.21461538533846072"/>
                    </c:manualLayout>
                  </c15:layout>
                </c:ext>
                <c:ext xmlns:c16="http://schemas.microsoft.com/office/drawing/2014/chart" uri="{C3380CC4-5D6E-409C-BE32-E72D297353CC}">
                  <c16:uniqueId val="{00000007-6F60-4068-BF1B-0C113B6ECDE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pivots!$H$41:$H$45</c:f>
              <c:strCache>
                <c:ptCount val="4"/>
                <c:pt idx="0">
                  <c:v>Female</c:v>
                </c:pt>
                <c:pt idx="1">
                  <c:v>Male</c:v>
                </c:pt>
                <c:pt idx="2">
                  <c:v>Other</c:v>
                </c:pt>
                <c:pt idx="3">
                  <c:v>Unknown</c:v>
                </c:pt>
              </c:strCache>
            </c:strRef>
          </c:cat>
          <c:val>
            <c:numRef>
              <c:f>pivots!$I$41:$I$45</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6F60-4068-BF1B-0C113B6ECDE8}"/>
            </c:ext>
          </c:extLst>
        </c:ser>
        <c:dLbls>
          <c:showLegendKey val="0"/>
          <c:showVal val="1"/>
          <c:showCatName val="0"/>
          <c:showSerName val="0"/>
          <c:showPercent val="0"/>
          <c:showBubbleSize val="0"/>
          <c:showLeaderLines val="1"/>
        </c:dLbls>
        <c:firstSliceAng val="11"/>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excel.xlsx]shipment!duration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How</a:t>
            </a:r>
            <a:r>
              <a:rPr lang="en-US" b="1" baseline="0">
                <a:solidFill>
                  <a:schemeClr val="tx1"/>
                </a:solidFill>
              </a:rPr>
              <a:t> long we take to ship?</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shipment!$B$3</c:f>
              <c:strCache>
                <c:ptCount val="1"/>
                <c:pt idx="0">
                  <c:v>Total</c:v>
                </c:pt>
              </c:strCache>
            </c:strRef>
          </c:tx>
          <c:spPr>
            <a:solidFill>
              <a:schemeClr val="accent1"/>
            </a:solidFill>
            <a:ln>
              <a:noFill/>
            </a:ln>
            <a:effectLst/>
          </c:spPr>
          <c:invertIfNegative val="0"/>
          <c:cat>
            <c:strRef>
              <c:f>shipment!$A$4:$A$19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shipment!$B$4:$B$19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8E2D-4E45-8768-ABD67F072AAF}"/>
            </c:ext>
          </c:extLst>
        </c:ser>
        <c:dLbls>
          <c:showLegendKey val="0"/>
          <c:showVal val="0"/>
          <c:showCatName val="0"/>
          <c:showSerName val="0"/>
          <c:showPercent val="0"/>
          <c:showBubbleSize val="0"/>
        </c:dLbls>
        <c:gapWidth val="10"/>
        <c:overlap val="-27"/>
        <c:axId val="844157024"/>
        <c:axId val="844174784"/>
      </c:barChart>
      <c:catAx>
        <c:axId val="84415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174784"/>
        <c:crosses val="autoZero"/>
        <c:auto val="1"/>
        <c:lblAlgn val="ctr"/>
        <c:lblOffset val="100"/>
        <c:noMultiLvlLbl val="0"/>
      </c:catAx>
      <c:valAx>
        <c:axId val="84417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157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excel.xlsx]shipment!customer satisfaction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How</a:t>
            </a:r>
            <a:r>
              <a:rPr lang="en-IN" b="1" baseline="0">
                <a:solidFill>
                  <a:schemeClr val="tx1"/>
                </a:solidFill>
              </a:rPr>
              <a:t> satisfied are our customers?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shipment!$B$25:$B$26</c:f>
              <c:strCache>
                <c:ptCount val="1"/>
                <c:pt idx="0">
                  <c:v>1</c:v>
                </c:pt>
              </c:strCache>
            </c:strRef>
          </c:tx>
          <c:spPr>
            <a:solidFill>
              <a:schemeClr val="accent1"/>
            </a:solidFill>
            <a:ln>
              <a:noFill/>
            </a:ln>
            <a:effectLst/>
          </c:spPr>
          <c:invertIfNegative val="0"/>
          <c:cat>
            <c:strRef>
              <c:f>shipment!$A$27:$A$30</c:f>
              <c:strCache>
                <c:ptCount val="3"/>
                <c:pt idx="0">
                  <c:v>Jan</c:v>
                </c:pt>
                <c:pt idx="1">
                  <c:v>Feb</c:v>
                </c:pt>
                <c:pt idx="2">
                  <c:v>Mar</c:v>
                </c:pt>
              </c:strCache>
            </c:strRef>
          </c:cat>
          <c:val>
            <c:numRef>
              <c:f>shipment!$B$27:$B$30</c:f>
              <c:numCache>
                <c:formatCode>General</c:formatCode>
                <c:ptCount val="3"/>
                <c:pt idx="0">
                  <c:v>7</c:v>
                </c:pt>
                <c:pt idx="1">
                  <c:v>8</c:v>
                </c:pt>
                <c:pt idx="2">
                  <c:v>6</c:v>
                </c:pt>
              </c:numCache>
            </c:numRef>
          </c:val>
          <c:extLst>
            <c:ext xmlns:c16="http://schemas.microsoft.com/office/drawing/2014/chart" uri="{C3380CC4-5D6E-409C-BE32-E72D297353CC}">
              <c16:uniqueId val="{00000000-6EA5-4B71-A88F-C8F77EC11B0B}"/>
            </c:ext>
          </c:extLst>
        </c:ser>
        <c:ser>
          <c:idx val="1"/>
          <c:order val="1"/>
          <c:tx>
            <c:strRef>
              <c:f>shipment!$C$25:$C$26</c:f>
              <c:strCache>
                <c:ptCount val="1"/>
                <c:pt idx="0">
                  <c:v>2</c:v>
                </c:pt>
              </c:strCache>
            </c:strRef>
          </c:tx>
          <c:spPr>
            <a:solidFill>
              <a:schemeClr val="accent2"/>
            </a:solidFill>
            <a:ln>
              <a:noFill/>
            </a:ln>
            <a:effectLst/>
          </c:spPr>
          <c:invertIfNegative val="0"/>
          <c:cat>
            <c:strRef>
              <c:f>shipment!$A$27:$A$30</c:f>
              <c:strCache>
                <c:ptCount val="3"/>
                <c:pt idx="0">
                  <c:v>Jan</c:v>
                </c:pt>
                <c:pt idx="1">
                  <c:v>Feb</c:v>
                </c:pt>
                <c:pt idx="2">
                  <c:v>Mar</c:v>
                </c:pt>
              </c:strCache>
            </c:strRef>
          </c:cat>
          <c:val>
            <c:numRef>
              <c:f>shipment!$C$27:$C$30</c:f>
              <c:numCache>
                <c:formatCode>General</c:formatCode>
                <c:ptCount val="3"/>
                <c:pt idx="0">
                  <c:v>37</c:v>
                </c:pt>
                <c:pt idx="1">
                  <c:v>51</c:v>
                </c:pt>
                <c:pt idx="2">
                  <c:v>39</c:v>
                </c:pt>
              </c:numCache>
            </c:numRef>
          </c:val>
          <c:extLst>
            <c:ext xmlns:c16="http://schemas.microsoft.com/office/drawing/2014/chart" uri="{C3380CC4-5D6E-409C-BE32-E72D297353CC}">
              <c16:uniqueId val="{00000001-6EA5-4B71-A88F-C8F77EC11B0B}"/>
            </c:ext>
          </c:extLst>
        </c:ser>
        <c:ser>
          <c:idx val="2"/>
          <c:order val="2"/>
          <c:tx>
            <c:strRef>
              <c:f>shipment!$D$25:$D$26</c:f>
              <c:strCache>
                <c:ptCount val="1"/>
                <c:pt idx="0">
                  <c:v>3</c:v>
                </c:pt>
              </c:strCache>
            </c:strRef>
          </c:tx>
          <c:spPr>
            <a:solidFill>
              <a:schemeClr val="accent3"/>
            </a:solidFill>
            <a:ln>
              <a:noFill/>
            </a:ln>
            <a:effectLst/>
          </c:spPr>
          <c:invertIfNegative val="0"/>
          <c:cat>
            <c:strRef>
              <c:f>shipment!$A$27:$A$30</c:f>
              <c:strCache>
                <c:ptCount val="3"/>
                <c:pt idx="0">
                  <c:v>Jan</c:v>
                </c:pt>
                <c:pt idx="1">
                  <c:v>Feb</c:v>
                </c:pt>
                <c:pt idx="2">
                  <c:v>Mar</c:v>
                </c:pt>
              </c:strCache>
            </c:strRef>
          </c:cat>
          <c:val>
            <c:numRef>
              <c:f>shipment!$D$27:$D$30</c:f>
              <c:numCache>
                <c:formatCode>General</c:formatCode>
                <c:ptCount val="3"/>
                <c:pt idx="0">
                  <c:v>150</c:v>
                </c:pt>
                <c:pt idx="1">
                  <c:v>182</c:v>
                </c:pt>
                <c:pt idx="2">
                  <c:v>163</c:v>
                </c:pt>
              </c:numCache>
            </c:numRef>
          </c:val>
          <c:extLst>
            <c:ext xmlns:c16="http://schemas.microsoft.com/office/drawing/2014/chart" uri="{C3380CC4-5D6E-409C-BE32-E72D297353CC}">
              <c16:uniqueId val="{00000002-6EA5-4B71-A88F-C8F77EC11B0B}"/>
            </c:ext>
          </c:extLst>
        </c:ser>
        <c:ser>
          <c:idx val="3"/>
          <c:order val="3"/>
          <c:tx>
            <c:strRef>
              <c:f>shipment!$E$25:$E$26</c:f>
              <c:strCache>
                <c:ptCount val="1"/>
                <c:pt idx="0">
                  <c:v>4</c:v>
                </c:pt>
              </c:strCache>
            </c:strRef>
          </c:tx>
          <c:spPr>
            <a:solidFill>
              <a:schemeClr val="accent4"/>
            </a:solidFill>
            <a:ln>
              <a:noFill/>
            </a:ln>
            <a:effectLst/>
          </c:spPr>
          <c:invertIfNegative val="0"/>
          <c:cat>
            <c:strRef>
              <c:f>shipment!$A$27:$A$30</c:f>
              <c:strCache>
                <c:ptCount val="3"/>
                <c:pt idx="0">
                  <c:v>Jan</c:v>
                </c:pt>
                <c:pt idx="1">
                  <c:v>Feb</c:v>
                </c:pt>
                <c:pt idx="2">
                  <c:v>Mar</c:v>
                </c:pt>
              </c:strCache>
            </c:strRef>
          </c:cat>
          <c:val>
            <c:numRef>
              <c:f>shipment!$E$27:$E$30</c:f>
              <c:numCache>
                <c:formatCode>General</c:formatCode>
                <c:ptCount val="3"/>
                <c:pt idx="0">
                  <c:v>312</c:v>
                </c:pt>
                <c:pt idx="1">
                  <c:v>373</c:v>
                </c:pt>
                <c:pt idx="2">
                  <c:v>351</c:v>
                </c:pt>
              </c:numCache>
            </c:numRef>
          </c:val>
          <c:extLst>
            <c:ext xmlns:c16="http://schemas.microsoft.com/office/drawing/2014/chart" uri="{C3380CC4-5D6E-409C-BE32-E72D297353CC}">
              <c16:uniqueId val="{00000001-70C3-41D7-99EF-DDBF55830170}"/>
            </c:ext>
          </c:extLst>
        </c:ser>
        <c:ser>
          <c:idx val="4"/>
          <c:order val="4"/>
          <c:tx>
            <c:strRef>
              <c:f>shipment!$F$25:$F$26</c:f>
              <c:strCache>
                <c:ptCount val="1"/>
                <c:pt idx="0">
                  <c:v>5</c:v>
                </c:pt>
              </c:strCache>
            </c:strRef>
          </c:tx>
          <c:spPr>
            <a:solidFill>
              <a:schemeClr val="accent5"/>
            </a:solidFill>
            <a:ln>
              <a:noFill/>
            </a:ln>
            <a:effectLst/>
          </c:spPr>
          <c:invertIfNegative val="0"/>
          <c:cat>
            <c:strRef>
              <c:f>shipment!$A$27:$A$30</c:f>
              <c:strCache>
                <c:ptCount val="3"/>
                <c:pt idx="0">
                  <c:v>Jan</c:v>
                </c:pt>
                <c:pt idx="1">
                  <c:v>Feb</c:v>
                </c:pt>
                <c:pt idx="2">
                  <c:v>Mar</c:v>
                </c:pt>
              </c:strCache>
            </c:strRef>
          </c:cat>
          <c:val>
            <c:numRef>
              <c:f>shipment!$F$27:$F$30</c:f>
              <c:numCache>
                <c:formatCode>General</c:formatCode>
                <c:ptCount val="3"/>
                <c:pt idx="0">
                  <c:v>224</c:v>
                </c:pt>
                <c:pt idx="1">
                  <c:v>247</c:v>
                </c:pt>
                <c:pt idx="2">
                  <c:v>250</c:v>
                </c:pt>
              </c:numCache>
            </c:numRef>
          </c:val>
          <c:extLst>
            <c:ext xmlns:c16="http://schemas.microsoft.com/office/drawing/2014/chart" uri="{C3380CC4-5D6E-409C-BE32-E72D297353CC}">
              <c16:uniqueId val="{00000002-70C3-41D7-99EF-DDBF55830170}"/>
            </c:ext>
          </c:extLst>
        </c:ser>
        <c:dLbls>
          <c:showLegendKey val="0"/>
          <c:showVal val="0"/>
          <c:showCatName val="0"/>
          <c:showSerName val="0"/>
          <c:showPercent val="0"/>
          <c:showBubbleSize val="0"/>
        </c:dLbls>
        <c:gapWidth val="219"/>
        <c:overlap val="-27"/>
        <c:axId val="746257744"/>
        <c:axId val="746262064"/>
      </c:barChart>
      <c:catAx>
        <c:axId val="74625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62064"/>
        <c:crosses val="autoZero"/>
        <c:auto val="1"/>
        <c:lblAlgn val="ctr"/>
        <c:lblOffset val="100"/>
        <c:noMultiLvlLbl val="0"/>
      </c:catAx>
      <c:valAx>
        <c:axId val="7462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5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Where do our customers live?</a:t>
          </a:r>
        </a:p>
      </cx:txPr>
    </cx:title>
    <cx:plotArea>
      <cx:plotAreaRegion>
        <cx:series layoutId="regionMap" uniqueId="{75F77D09-F170-4F0A-A2C0-B9C90594AD3A}">
          <cx:tx>
            <cx:txData>
              <cx:f>_xlchart.v5.2</cx:f>
              <cx:v> Quantity</cx:v>
            </cx:txData>
          </cx:tx>
          <cx:spPr>
            <a:ln>
              <a:gradFill>
                <a:gsLst>
                  <a:gs pos="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75000"/>
                    </a:schemeClr>
                  </a:gs>
                </a:gsLst>
                <a:lin ang="5400000" scaled="1"/>
              </a:gradFill>
            </a:ln>
          </cx:spPr>
          <cx:dataId val="0"/>
          <cx:layoutPr>
            <cx:geography cultureLanguage="en-US" cultureRegion="IN" attribution="Powered by Bing">
              <cx:geoCache provider="{E9337A44-BEBE-4D9F-B70C-5C5E7DAFC167}">
                <cx:binary>5Hxpc902tu1fSfnzo4KJBNDV6aoGyTNoljznC0uWZAIcwAHg+OvvPp4iKUraqerUe9fPziTzgASx
gL3XXmuf/PN2/sdtdX/T/zTXlXX/uJ1/eaG9b//x88/uVt/XN+6oNrd945qP/ui2qX9uPn40t/c/
3/U3k7H5zwRh9vOtvun9/fziX/+Eu+X3zWlze+NNY6+G+365vndD5d2fXHv20k83d7WxiXG+N7ce
//IivqnMx6a35ubF42vklxf/rm7q+7ubn+JmsH558dO99cYvr5b2/pcXj+5DXvz089PH/W5qP1Uw
ez/cwWDKjwRigoiIyk+/+IufqsbmXy4HmJAjwgnjEdz581PPYSp/aUaf5nNzd9ffOwdv9unfv7/B
o9eA1fj3f16F28NqHADIAYtfXry2xt/f/fTS3/h79+In45pPy9UvcXN41dcvP63Nz48h/Nc/n/wB
rNaTP3mA8tOl/U+XfvrzKT5658MWgJf+Q2j/OrIkZFEksUSffuEnyGJ5FGFOOGb4M/Rfn/0Z4Ifb
8Y/n9Dy2D8c+esfPr/jni/L/BG6PZv0fDmfcwC48nE3n/44TKo4QFlJSyj/DJJ7gCCcUUyZCjuHK
wyP6V+f1B1g+93aPluf5w/rs038w5DcQ0mzzN0Tl6IhTHIUh/nI05RPM4exyEcJvHD7G/Ptn9Dza
T8Z/B85PRvxgCG+re2v/BoDlUUhQiCWJniB7OM1SYE7DJwn3u2fyPLCPh38Hro8H/GCwntz3fweq
4RHllCFIu3+Ycg+xHFMCNOthqP7e+TyP7aPR3wHto8//YMieNu6nf9v8vrp3f8OxZUcoJIQKFj6f
i7E4IoxSxjH/yrkewvwXJ/c82s/d5DtAf27YD4b9CRRsfwfq0REcWCiCvqL+TDaO4Bom+Omx/t4J
PY/04/f5DowfD/jB0D27ubv/RLOH/3IJHB3JiEC+5eHzUZugIxQBw4Y66XHU/v4ZPY/vk/HfAfCT
ET8YwpfVze19/zeEbXEkJJeYiS+lMH1KuvAR4oxiRD6H9Sc4f/+8nsf5yfjvwPnJiB8M57P7/haE
mvhvELMoimQkIqiXD79+VyqjIyawhOzMnkvP3z+v53F+Mv47cH4y4kfDublrbv/7MDN8xCSSkHCj
zzD/roZCRyED8QuI9pOA/b0T+gN8Hw3/HngfDfjh0P1bpA9g0GHIvx1h+VSQBumDEAHxHD2J0mfN
983nj7B9MPq7oH3w+R8M2Yv+Biqo//7BpfToUxYWEft8cJ/GZwxuREiRjBCI1Q8Lp++f0fPoPhn/
Hfg+GfGDIXxtxvvembu/B2QpUEjpFw3kAOUjRwlAppwjKJaeHOC/NKnncf79Lb4D6t8P+sHQfnlz
24NpZ/3fIVWLo5BHEsoj9PlMP43X5JCtD79BGDv8enKy/9rcnkf9mXt8B+zPjPq/gfsfm43ffNvk
xt+knxzfB37jn1/9tFDgVD8Z+iWoPm8cfw64+7tfXmCE6CFEP7AcDzd6FJK/WNJf4/TjYfc3zv/y
AtxjAP9Ax4WMoH6mHNyK6f7LJXIQSwVDlBJEMYFLtum9/uRJSwT7hXPGMEPR4ZJrhi+XWMio4FHE
OOwpQr558pdNteSN/bYsX37+yQ71ZWOsd/BaB32m/fy5w3xDFIKnRiICenvECJIUNmd7e3N9kG3g
4/9HzHknB6GHi8L49lhUkp31dj4RturicOjfRHWddIUvd7bh1XqvG9cFV8OyqKVbTSzwXF1J3Vrl
y+XK5+y4cXWz6SpnFF6XUfESB1tTjUyxVm/yctT7qfMoztuMKTe5XMdy7Oym5m01vFzy9r3US6OC
iIeK+9kUcUscOx7nYD0OWzvrLF7EYo6HqkwWkgU7H/Qfc2nX2AQo2y64GZTGpdxXQz6+aaUQJ8RE
5Zmgtt1i87IdqG5TUS9o02JhkrEPUMJHaZOGrjSpKkMUiWSueixPSt77tMtxHHriN+HcnotQj2qk
jdyM1TqrIPPzxmk77frJnWPnZOxt976f8tMFT6lGS0IcOUMsP5lWr5Uv2kGZbOlUIUQ8DW5ILSCs
8izwKTws/5hNTfTrshZjtunCTqsBBWsstMM72Q/XuqQvRYHssG8jHfgrg223C7s2tp2Odl24OPsy
8kj2Sg8ZHxXlGdtSPI2FCrPwY5kN094szbAdbFkma20vl8KdR6w9tpU+7xA5ET7YNG46DuooadZ8
4zqrULHGoWnvJkuujZfvHzYZPNqTt0279CbXX1pFvv34r1dNDX996jr47Q8PnSa//bS9bw6uvHv6
oUPw+Pap3zoXDof1WxvDkxDwuV3lD+LDn178C8EDlDQovb51ovwueECDwA0wkBv3NHx8HvgtfIDy
dnBA4bRDYR8xOJ7fwgc6khIMUgpVIMLhoT3la/iAjHTIRaAEEExFxOHSb+FDgJTLEBcUGiMgtvyV
8EEp8NXH4UNQKEQjeBJiIB3xJ+HD5mIcq1E0FwhV+a7Ns63OA6F6Op0MfFxgjxN3Og+k2VK00q2c
h0tbsDWmtv7QM9IkLnC7atFhKim0seRTRFXBdBcPmq2qCCaSaC8CxbtoTYJpri+7XL7V4drHY09p
PKP1RGT0tA/ZTjQyTMJAb7ulfZuJvInXTpyt/QJnqynHHfQwHed10amShcerMLXKGT+LCHudh3Au
vRFXcuJlYntz5VF/A/W1jUWYvxnrsFWT0XlsZz7G5bieRZa/nbPSxZjSd7Jq3kbzeCJLfDrx6lUQ
1mdeTG3cT/q17TOkAlzvbDad8JVdW1tscB68J2aO8y7feNTx2PXtacubd9CmdE51XSgdzttxDq2C
TXHjK+GUnSutAu5TE61aQeCtEtrPkVqybkmFsEM6juOisqK+6KeZKJvTXaOJUfM0nE/VOKh8nfA2
LP2miLrruRyLOCyxjQOyXtIsuiW+fVUOy2YSuFY0t5czizaLrveG1F5l3F1GA3+tuyxPW7a8iwwE
eTOFbQINNmVcWdNsqFlcYgnf+n696mfLN1hXxzOu7vVad0p48jrSPY77imRx1MiLYuTkvMr4bhb5
y+6c6X00FApN4iRaiiImAm0MHxvFOpMavxapp37c9oN4p6MoV0Nniaoas8W1taqsm9uSR01S+KVQ
pMObSvBkQXm6+GVnFgiDdV186Ht6z0NyPzUo3+UdO8+jfD+PXa4WNNZpsVTsDQ1LlKBFEMUzA40e
3XEdRvsqxGfhoDe9yMsNrkyfLvNMYpJHy1YMbcOVDQefTmNwZdrpTq7l1MchgiyG+m67dsxBUuuO
WdCRuGPtTkaNVg3JCmUFFwljYkeC3G6bfr4pJXtlUJOMrk7RIWPC1oV9JN82dKSx7vz4smO4S43M
57TkA2TkTPMYrwNOfdUWiobVtRzzJCIZVdTovZXRaTY6rOqyL5IqL+Bc8GpIRdHiDe0aokBZRJug
olWMzDqcLMReZYG+pfnErnxWX4ueITVHtN+3Dt5F+2mKg3VIHWsqlaP1omngpBT1PCtIs5cZD091
jVDSooKpqIAFtNGv3uNj11wZxlrV9+JSiDrbz1FzPmfVpEY/HUvS3DFXtapbipua1W3KS1cmwRyU
SbvC/pjCjsCWCPNEr8GWLnGx/kpyejf2p0Wxd82UmqZb4i6DbTDW2c2yrqMiS3eWrSVWlgYv55bt
LNYB0Bj9JsjL+3KAI0NsA3u7DTdOdvs6qFslKaHJWFWvOpt9lGMzxfkM+45WfMugiTBl89qpoF29
GvPOngZkDs+wrV8Fpu7O53EJYM/zIuVyzZJ5HYN4yLImznvUKD2NZ2NfCuW4LVQlzUvdw24OWY73
fVXolGWA+JzVRJXLetVkbQScimLl6nGN2yW4pl0/JAiepPTaZSoYoymGxJ5txsUXSdN5ttOA18j0
cbnAvQbaXdWMnlSNe4ky9CoLTZNgMh5nIiQpXdfZKNf0fXHRzrh/V8rQTWnkbFTEbihOhmEEJuBH
WpONmTILvNC490Lmmp3+/8gJHmb2EOzy/0AHvrW+/laFfB71lQtgBm1uYLxDPQACoQjhht+4ADuC
pguEIobEIa1DGv7CBRgBAnEQE9GhyZFgARn8KxcgRyBSCMYFEoJy6Mr4K1wAH1L9o0pCRlDtQK3D
KdROhEHN8rCS8Ctt2m4Y5nM7UZmOU6Zb1dCCl3HJp/EqCsLluJhHW6YIlf69b9j4umRu7pSTtnv7
YPW+kMpHhc3v6hqot5AE0xq4DnT3Rk+ICbNLW0o9jOeks/g8L1ebqYE3kY7n0TdSjRMb3vOxDYzq
a+G7uCv6MlfZ6jiLQXu1d9J7dAH30ENCqgq/XsNA4O0Shdk9XgI8b/58xoT9fv1YxMG4ITLkSBD0
eP2Y4RqwXfw5ncMcwva8Vq9HJgXdeL40oRqXGReJ4ZlQK48Wo5YS0W099gtO+rHxd3p2DkMd1IaJ
g97tUflaIyjB+rDM07wp9GU5yOPaSe0SaN6Qb5zuTspqCufUuCA6M70e6+2fv9XvYQBXEXEAIoK9
QT+99IPyki9BPgVt5c6tz+SbJhcYAndJYGu0dpgvp7mXL9sMV+/+/LGHvfZwL4K/Bc2gnEoCexH+
cZjWg8eGaM5Z63J7bsWKz3Gph3Pr+tiITL/58yc9JcCHJ0lEwDwVEfhq4sk+ay1b1q7XzbloEbvp
pqavtpkXCwTtVqeoGyogu0Akmrig4VT/p01z2BSPXxQ2Cgmh5QYanSE6PHk855DYc1ubc96V4U1d
DOFNWR3mEK61S6O+aYDUAPTbqeomorqy4fe+km4/yYWdHlI5iulUNGVccFu/pn0L+U6LZblvg7FN
oPqseRzKhvW7kEbroP589Q7Nmk/nzw9hA4oRaLHnDGLaQ6BQNIQ2DLPgDA9ZfWN673KFg9Jbpuiy
2Px40qb8kAvZnkKm1ZuoYbOJCR75R8/XtYkXnfOYNcV4b3rK78aw1fz4zyfJwt+BTBnkeRD5JMRW
OJ1Q2T2cZdQLg3rt6VnBujaTIvFSr9vZz1Ru/DgMcT936GqslxDUBw0srMd260jfbivWkrisuvq6
rcJ6Vrya8rdTUTf7xXmvWijeX0euFEkGBCMemqIATu1pMQGPd/Z8agN30QUrTfMcS+B/a2brmIy6
3oWRr65JkV/mi6Wzqgbenfuse+VJHdAkGgkspFkIxAY2rOuBUhenlQ7F+wwN7FhHAp+u+TzKeEKa
1TFsOrMPRL/UalrEmuApDJK1mG9b1/mXIENwraba803mumHPMkJedRpP5TbjATZq1WX2QVLUj8rY
Lvh1qHmdtK0j+7Kx7R53srozYxvBuad1+dLIbOZq7Fh+3Gf9EC+wDlsMFeZFN9Vzyqa+22A84zGt
oOs7j8cpF108Ep2ltaN9MrTyQmdBjhKMG7+DVEOA+qAiOtCt6t1cI31Cetm+DKkPt4MsArJxUb3e
iKjpU4fmYt2Mpcg3wTyjG+Kq6aPLgfjFK/FogNKJjPlm9kUDh2Oa0iUfB7Hpm0wnladQysFHFSSg
voGFrkeuClcUQcyziSvehPOqmK+ymPrA1ts+KtOcDQu6mihm8HWYHlWqgJ3kN9RP0m1nyufTqFzX
KrsaQB2ra7WYarH9nc40Iet7NwUzr7WSPYTy5pYAl/O0V4Mfhhad+9LX5XwsTbduRzn4bF/3xgAN
J1XzEvGA7ouF0iEeAIMM+C6SM8BVC5HYLIN86Kty6tKonHIEdZnH2YXuUMSbXbnwSSfLXEl/GjlP
YUdNWYPdFA+QCzdRoIvsYoSjE+VxJ1oBG46Wrt5YKIykqjpIXlk6jyaKgwy+oxFCgYIsgy8RZHUd
azlM2WaqeFWnLgNWsAltXoPWtYYQMS0p2RDXug8qNbold5fOBHWdNrkRH4Nh5Aaqs4b4rWFiEOdh
kOXZsaXc87CAIt1167Jz0NLU67TNNa/TzI1rt5G9s2azVFG97JBzdRuHZKlMzOdwqba96UwQA6zk
bdDWK07A4SnrBP5GwUVVoMDBklv7tqhrWe9pL32VltpH1+vgKd0UQUPwiZ408HnFNdF+m/Vja19C
MqbHRb6ScjO0MIO08VW+pqCdrjIWxdJOZ7VYYGsHcFT6JMN4OO5pGFZJntF8SLgdAU7DHfATuxZ0
va9KKqNEwATqhC617vYYGbbLDS+jmJRlRxPTmCxZh6wMVTD1rbwssqlgMTVdsaq6LdbgBGUV2+A2
y0Fq1ZK3KV702uy1wVOeQvmpJ3X4nMLSSAvbJ6ddPE8mWBUIs8GvvV0aqG8MnCNyjldrVqPEyAL6
aqkmMpxHrVyaxMrOQ81sISXljpcwQNYUViszGtv3K66sPu6WugIddQpXc4J97l+xgoQ3IZQ+mRIY
Nu9mAOGFpi5aDUx+wEWdVLQD9UVMWWqw6d5X0wTMosiL8aULo+lD22u6G/mUZ6koQwRqCKhEdBNW
TTFvbD/i83VuKbtyPsSvsA/gE1MUOBF7vPA5HUldmF0/EzLtLc8duTABl28s6g6bsyg6t+WV0+5y
XpgXMeomwEZPFibWOAi6J5DB5BsqEOzuGqJkn0BTztzsvZMZuSz6oSyvibCS7WdWTMOZn/2BfOpl
vgzLIJrTZqrh0U1zKFxnkF/WLSr54eUPU58gPsG82hqfs9DCWwxdCEuly6ZcY1mOcHTaKi/Nle05
HPl+AFaQwzWIqcRbfdFhtvRW0VYjgHvq5+GsDnTrlEFDN29mxBFNl7Ejh6ABhymGN4IAMkt84Mne
1m8yQuWxGI0RSuiwhH2x5NHNZClMY+6L5Zr6GbmTHGhucdK0tixeCsgWW2cRPu9k3r1niERQtzJt
yHEjcjmcZLrJx2TpeTcBwV3otiWwrDHi3XJbVmV4OQ8ONbsOLWP5dorq3O3qLKg/Lqs8xBDTVTqB
OkDQ1JBFu00b1fItmAL1pp7avFOcQZhbQJK7No13J7IuC5ALSU9yCHshg3SkiXzTF8GYpxWxcEzW
IKNyz2yDu/saAvJyDDYKnI3pELHTIgxgRedxHVNIMlN3gvuBRHEmKz9CpqUjAurdFb/2cpSvggVo
+vEqfY/vvLOLUzV4NePeTARuNddYrzGbDkJUC7CAqlLKaLM24+jP5oVXL4vRgXzG3Y7V8xju1ikC
cEqE3bptq7Jpzmw0s9PAI9akurP1eJIvU6tBvnS1fgVMxN0haSGMQOh0oyo1eC9KTqPoIAss3csq
77B5h5uVilGtwMCW162ngYSbuaxPNQ/K/DjI2umDzlEwxhV3Ubk3EuGr2QXZCpJc50CiWwfYpIb4
gl7OZbWG53XUVpXq2hFFZwxrNscLsBuXTroF1CZhDXgtK68hdjhXpXimcw+CCxH9dhUd7P6SzTmI
eNmCXJy1LureTuGCXxW6h70GmU6+gb1eu0srLYYAS1pZbESto0nNw3siBlAzVVmO/HVIbDclU5h7
dsaySozXXeYkSHg57Oi0NRTQhMJhmU8N9WVzyvtW00syoyraZ3Mj4b3mOcjPyj5op6R2GcQMYGOD
P6uqDObfyxL8Ei1KnUwzQvulY3DulyjiRjGQ5s4+sdIvZuiXEvezl/fQ33hod3yPb3L29au9T42T
Rzf6X+iugKfxx+4KJGJ//1B/Ofi5IUIw6KuaAsYsAhMV6mdECSERtNB9U1NAMwHNmkPHLKdQtEI5
8FVNQUcYvrMEhQCYHhGH//hNTYGuLCgNQGMJQ8oxkuyvqClg4jypjMJDBRuBNnOwaxhUd49rjrGd
HTAiTS/czFC8zuN+WliX4IJS1UfdpqFkUL1f3nICxqXL2W1PxamXS5mEh6BXzOD9+V6feNC5lUX2
LChQr8TaDsnsxvO5j1zCZA9fIW6GD4u077UBobyurktWbO3ijwkl110LSnLRLYOSYMSCK0pObQ2c
Ig/4a1fKJq5k7SEcZa/XpngbAtdSkLTmOJrrizCnF3iKUtk1x7zq9mW40v06Zn08lETEo563oMuk
RLQfwRy+HqY8PLbgIIGJ+EGYRUm3vpnBTlYlAQ2UAq9REattQtssRnMzxLzVbyY8/FqCxBnrUu/I
0FjVOt6rWgNB9qO3sWnpeVl3x1XJqJr6/mM3aqzmoPHxWokLU/dtPOXdRRGO7fFce4ghJssTXjcl
hMk+jyXKs3MXNSgBzrpGqmPrR0HG8nxk/HY1sLhtVusrAhFKadffa4/kWdFU+1AGECFIu2y1deLC
mbkGwX0C1MDcUn3u87is5wlYi9VqLHC0NeOcq6iHAM9mnl+hnOLt2ha56nJTqdpSUJ6nqVGmpnmK
lqrYUTpXaWAM2Rb6oDSsUDdHM+Q11DSQHjOc4HlBUIY6s2GozTZsolXa155sfUPr1NLiFEzkk9UX
F6XFe7/ka2Jq8TFboZgqeM3SwBmaLMNSpDjjy7Yc8ipFhRawEHgB17qTW1+AJl7M/bCVBLJLnfcg
HQAvu7YTF9uhDXUKrefFDqEsS8AwpMpRGlxVWDJVr/Cm3RxFyoDNuBF54ONimYRamrxNA2B7EL5L
cxw6N21zol8txF0OA7KpDsSiGt9+aCoH3EVHUGF0kh230lGV44NCth6WyBD76+TC4rUFaquclna3
DCAHkjlvVJVZfBEKDfStXTMI8RzWuA+GnZggbuuJTUDAB3NX1oaDE86zdMzrYId8sRnCKs0yK6Eu
hrq2lrZXUAzVSrBiUEExiaRv6yqOxiK6WvF8VczDdTTVZepIgU1ckeocimO/A/700dv1g8ej3vgW
D2AGVP2ZgVwY0zlKqr6L9tEyZadRwMetyCy7JsHwxsjGBwnywwyuK5kxVmZobyeYFV+DEthkUSkn
dLcNzPIKBxPezDqPYjTKY1uTKJ2mBSs5DtAr4RbVgpwCtWCeGmuD44ChnaH09egKH0OXxqu6K455
YS8n7uIg4Gcu/DXj5GRoovHdUlb3U+RPZxYEyvagUoppmE4HKIR2UvpCmd6UKi/RKYGn6VafjCP7
2EHdAHZVdYYmhNUo+ZtVgOxjilUo7+o7x0ELglJx3xTLFcjrp0NoQKfQI01sLZptaTBw41GHybw0
sxoN5yDl1nvrSBtzR8PNsgCEuKsvhiB/Wc3Zr6gZ3rcMwoNA7Zjwsj8xE76ZyyhKXUlBZnBNvsED
hk4RCloZ69OxcGABrmCIVm48c2J6O0QhdIwE7FLOXKim5nYvwhA+6RE4LGU1xq1vToYC7YBi2Hhk
2aZATXdhpF9UAWWkCmaZ+Lm/d1lUqnA0CVT50XtozqjDtLHzmSX+tmF8b4fwHTCLcG9qrIp+/QB6
CFT9zbyDl642moBSUeM1qSJ+rguIMrIJFOmnuJRBo8YG74Iu2i1TlxTEgHZkpitoFTqtiKNxZqoP
Xsgdt/Qc5+02YN02h2ofMI3nCsPP4Y0WxsTODB+d4ZcgH/p0bJa9r5lOB17FASuvoEILIBcMcUWX
E+2rq1oGCTb6VQWSs47sjg+VTYbavKqMj4Ee98pmjqt6WXcZKFCmigVyMzgAJIYmqftssIuCPBYs
WyeIE5emLqs4j+w1Mn2f/i0M6n8hNwKV9Y+50cP/LcEzFAnGPqBIIWXQwSAxhm/sHsTlBxQJWtNC
MFe+8aAvFImKI3xgVBK+JsrBk+LAnr4aTvwIOA2YWiSCtpWIw7fJvnbhPOK70LX35eeHFg/o3L+j
SAfBHZpOwBeB3wfX66EsK2u+SjuG40U1GpAG475r0HE1Y3ZsgY0UcRHVr5cihwM8B6fCgrJdhPWo
piJKtA2Qwr54Nef+pBTzyxHNp0uGC9XqSCqoGqD8Myuoav7NVC/nvKb70ERg/GaN6oQDh3Q+jtoh
iue625sVnOsaktCU5RI6JeS8heaUj1TkPp4+tVCZcomhxCBpXwadWgXbDEUhYlbBGZZOv1+iTCtX
sSWFMFEnqG9fsWgYFBsCAl0aeUzbFcXL5BXLuzHubfa2kjjxJFri3rkkNNOHaChVkXV1EmJ+2xXc
xGNk3kVQwSvwnfZ0FlDOQxYDnepdlLOt4O0aZxPdaNEHirp6R6IxTMZG7NwMbX8Lg3ADlOTD0mQf
aj9foEZ3CvpH3hskTVyzcluW8x5yp93geerBhYK4I/L2LkcMojK279omhEaEQ8jOBn8fZWQ9d+Vy
Y9owO4FwDkJ5SGoFWSkNrMDXBKhbwkBmjc2hIG/cLLfTVJ7gsBvBaIaOHwh/vd+A3B+vjBuwyHmz
qRaK4gpU11Ro8LtzuTZqINadLUjMSQkO2UY0pk2yKlhiD6xe9a7UwJpACl6QyVKLnPkf9s5syVIc
XdZPRJuYBNwCa4q1Yp4y4gaLyAGEkMQgEOLptyvLqitPVZ/eVmb7XGw73VfVlpWZUbFA+t398z/O
YC26Q5oZ/RjEy/ZitqUpFYF9wqeOXFsqkv1mOH9T4xJc4a6hX0BmiIdp9Ie7hgbslPrjehmyCryA
7dQV7I0RY0AUtZfKyN65e+tlHrcuyDdBqs81ZV4KOeoNJxmQe64yf9c0pn8mFt/4Q4VM891rs/pH
lILREA4TNNrOOw5y0IoAqamDCReHFU4jfDNwhtpu+K6b3QD+cAKHCIszK7xhvhkdolg5WDEhywoO
AABj4lDGCExj5ODGQRAkQA53BPcIW7jOuUMhpYMiqcMjt4j7pXLIZOLgSfWTowzYY/IbWAnEUjnY
EtPh8pLBXD5R1SEMcVCmlwLPnMBprg7YhPdYrg7h/M9h/lOzuhz4/36YX3+MrFfTx18Pcvf7fj/I
0RhCCBsANgY0jNUMv5ID5B9hFodYnhMBDnB48u/nePIPMH0woeI0Qt0o9iFA/zjHYaNB4gZpGEWJ
085/4xwH6fznczz9SceH4JqzCF/Gn5LvdvR4kGxBcyvIFlXXTaDj99UnTXqKRynrO+UZAHvzQN9p
g2jomHly4LlZPfMG62h6yZpIPWYZizeErLMBhiYT/TqFs1/BweySHW1aIGTMe1mDEEhNvUWYvgNe
BCsFfiQPc+3fzgt9qjv7YertA5cJBtH1gU4pogNKDkEn2G1gkz73OUWmUZWzNyJEa8ecTl4NoGeZ
iprYDz6MSzGY0eAEqqd88jHR2i3tECuk+07i5fMkxsZ4hq9YjyMwhOrYC/oQLfGDYNQvOUJMW603
WzrWZbb4H4McHvsweG/SNsxVNZo9AEKwfMG2HVKWYSJeFCvQzn9oaXJZ0ulLIPieU9ldxIhBtOFz
PlQB6LIp8fNorCGOTZ8W/cYfFqSPkLP9dQiAIN9k5OdjKleM0TAoTbSYfATJXehwBTYh6+4ildht
Sf8lpLiEJp/05UzG79s0WgQGUKLpNB+7qT2QTBx9rss+Sdq99bIiivSap0GwnxVkb9PiezBUPmiq
JY2PTOKfomVF8JapF9nwb0nG79OoKdO++4r0/okqR0/rNrpUcXVivePrBkRDcdIUlVBVXs/0UoO2
R44ZPQANfIpGAE91nHyjSp43Gz70NiU5J2lXSgml0C+qzVW9niXzC00MzkIlDx3z1jxAYIocYHF0
4UtLp66k1DBccWxHe/0okS8Unqn6vCHpPhqS5WYGbJondkp1PkYnzal4SUW8liOf77dloXkcNjdy
w/08eARTiJ2fR9t+VouJj+AhZ0BfZJ+M6StA/S9JVRfB6H90oga76b4Msjx4Nt0P1XbbcQarO9hn
1R0eVnUTLfOly/jdZuk7oxnCN775+3FlQx5lXJ9Ib8+a4rHz4/aiwNum8DtwLKevCHS9HL41K3xY
RYU3sj03/CbuxW2Yjecoo3fLlA4wUZDp1km098LhHQKvbOLgWUAo5lQlV/1Cby0zYS7pfPayal8v
gypFNT2lbfJJvfV6pPP3oBJPk05OKCFc2oX7J9IkFGIzm4pY4XMAs/qt8w1esa1O8nTt5rKX9Bb/
8TTXpvkyjBgjfCJug8q/G+JoP2T80/OqAsgvXPaGwxwJxZ2eVXqRYXNOhJavmOPGvLO4bz0iu7PX
zYj7GrD3FUDrIhHiw1QV32nb3ftT9aXzlC3Q1AA7n0XHLN0undTXsw+ydY7ekDd86BAOfoy/1AT3
bc/KrsogZvUt5oMD+IxjCCd+z6rueo5plMsolXvLZRkF8Mtw0OY2bq6Qz4Zn5o/yflp5NV2ti7/i
gJAwTYJwKzOkZUe/TV9nIUFUKuQC+cDaCY0Kog9iwldfS6XKfo0Clz1debBZbhq8WEAQWHwrE7FB
Uo74cHSyvm6DrB9G3+/ObdTGB41vwc50Xnf0Ew+Kv8cSpryeqprkC9XNUXuhB262wV9te+Lvvbbi
+X+u6Z/XtNuM8e+vafnXO/rnOo3fi0JoA+FyRvH3t7v41zs6/AcJQgx8cDnAyrjr+/dLOsViFrR2
gLihDo5YDhLoj0s6BayCnniIxy2K8Ut/45JGoPfnSxoQIXoIDuxzFMyf8T7wyTGlHhjfUDQvQ9jp
ogOgk8t+gCm9iX060INv1Cm2XrGs2YtQts7JvOI0yOhTm0bXodIn0ba7YUkrEGiJkNmOuYm3c7Ov
whBce3I8acPqrJRd632CYIDzK/1wwTtdLWItYkmqnHZJe5x0y3Zibud7IvuwVDN9NJwCIFjsbRZ3
sHhlWPbNhjN3VU/Wei8qls+hAqJDgg2E82hO1LO3DUuv8B6UiAy/jlsIfSNNXrfkoW+Duyz1XoJl
kighALytNL9e+pED4pU/7LiB0g/8fRUldRmMItzFwXqLgO9j6Nq1jJdwLq1qvoFo2UpNqqnI1nRX
E22KXjX+HqR6gkvEi+zJrMorGlOf/Tm5DaH2Zr85b3NSEB8w0SKAywHTPYMmeG1I9uZFCXRWF0I0
TDsdixfOQPiM7fasMR4ss9/f+JXZiV79wHLXchnZQzb3rrgkLn0tTr6wL3zCea2WH2SMLTAvmxQB
IBFo3mXJPQBYULr8OExeX4QNAA6rgrKC4VSAr0oxCfW22OzAC+DaXd4Ai9YZmHLVEpYLYj2E7oii
5dr7BSXJ18bWoDN8e9AV/K9p9QuZBqeMhsd5Hm+rbpRg5Ji9boZx6HGV0FkcdNzBNIw7kBZ6LKYp
RkjO0UtQOOsaucDNrj45pjnerR5k8lq2cv2oKVx7/JkYA1ylC+a6aXCHNKH3Qca6LcZFhxjhwsKf
su+W8/QaQOKygwc174O5oZfOhMe+leNjM1XRTaCFOvtBvdR5krXlNs7HZlkhZmgX7bolwW0q/IP0
mEbTYKA3M0sPsAZP3jC9kDg+kjl4MYv2i7qZSKmnwL8J+6C99FL10KkUii/GgV0tLXzT1eEZkedK
bD656dcwuGeBSo6ML4cMZQFr6ivBJwTsQ/CRhjQuubTsNgmBPmW4E20q9rOeTAnnuytiIz/tpPbB
wr6oGphGpoEhNfg8W9yJtwicMOD+d7Qn1EL/B42YImBDmTGOASJSUJGpkwy/GjJ9uC688zL/thNA
e7/FcWnE6Zdz81+4Pv/ir0DNCMuI0DfCtpqfntAvZKft63VqGY1u+fQ58zvbP8ns/0v63EWdPxuz
v/dSY+xx/uV7/ZdG2s/VWf/6N/2iI90VlWFaAc7rIs4/DEHoSB9oOu4wii7aLzqSYuMM/pc4CJ3G
QYjf9PsVFWOHJzLOJPCx8MKt4v07V5Qrz//y9KHK6jbEprgICdJSXIl/ojT9KtSW90l8g1JIOD4H
WdMJWUgr/LJpvBmDJcx8BhOfhzCm6DociOnuiRci4gtBUo1s1RA7CalQqkrphAqIGrfSJksY53M8
tSCQpuoKAZpBa6dTG79Xgr/2RjxQv3lfTaCLJAxvLJVDGcmYQSqhUVEPzadKGpoHRAaOA2qA5HrF
qpGWyZYXIuC2NOH02PjVlz6TiEcUaTdbdo2o1xfgvFMh2Ay4Lx55r1B5SVZaqNlqeR15Fg5/0x5Z
xKp9gAINukKSgUtY+s8ArZga4RM8L1EVfi/308pMoUR7HFrvyNigAevITxKO7aED6wKTRzyz2vsa
XPfSXquIlyBd8O3pNl5UXfXkD+m9UGSX2eXQbve+ps9mmV5piiKMRBD4/wZx+N9n0Ls9xf9uWHRr
3v7Fm4jf9cubSLCGMY5QG8dxGP9KL7jdPzG6Yn+ADb9Pi/Df3bmMHnqY/lb4+OeriH27eGdSKAUa
wtxBueRvTIvRz3rFHzcB3sU0whuPtz1AAoBOyp9uAo/4dgq0X99W0KSJBdKqgTNAjo03oe5ee+7l
/aqzcmP2KqmsOEhRX3dqPhLf/x55y1CYLC6a0EwFeudn4DdVvmXttWwWML+edy8ZQ8FBpeCGRPcC
PxqBJ8uyXcT6r/4Mj1Gn842eken5yxvtxA+/5RjQXBhZN+8060oPUPHLGMwEzUx+roWpAPDGS4kv
W+3nmd0oIKfIkYM3WEgoO7EIOVUYTaXxaAQ4uPqxmOl72MU03wJCd6lq+wJA0qPizf1ay4+NmBfP
wqbIaL0UKmbbjnvxVYwmTDmjv5336Lqj/aU+07j92iTjjcABm48G/4kzLOrd1Pt3aOOVbVdfq347
t4rhvRuRP8ICuIvb9o449JsxDOMm1WvR0Sg9oM6NUW8yX6upnYrOnxk4hrTbbw0mvY60T2iJ3uE8
afKQaNjI6LJdjMgeJ1GVGGfuJ2nGfdtFovSy7dx02VWj1zNGVlKAB56ANi+n2gcWUiv4YXj3Va5m
8MAem9Iya8gGMEQh+MWkvZtRfkPXX4dXUDftPuPrN2+x9qoGg1EQSepyEm16CE3qAdQNL3TwT0OU
9nuLnty99SRqcoPO9rYmJAfmlyFsBE8sZ9ncK+qhKOkh3U4QCAzvlvTbYaoRwHd9I/a8ThgI9Gif
4GQCsL7YI5XVXtfDBgpDJjmosa/g+EWBhkedd14kdp1c13IV1XuXQByAYrhmvLeAa0IU+VO2b5lc
SwLgj1U+0lBJp6sgGB54lTRlEiyYQdcYD+SMO4hMUXgcgWoX9bx9nUcSAkyZkSx5EehvLjOICDfc
tcFSbja9BmmRlelKv49wpnZj5qNGBXol1HiU4wh6ol5Yt+9rmxa+Rx9lE74vCW8LBlMAKX/SHfW0
dojqzaNnq+kElvRrEoUScAKuM17LtCTzgsc4S+6AYa+gN7ro6In4LWuDT8IVBtdV74J1uvaEh+nU
g/cTGRj/zQA6KLL48JMhKeWU0XtiNx1duTJivOR4eNludcWB0HxHlft1rfHOBxyVlw6cRg6edm9D
Hd4lRrwhCZnKKgWHUU0axmRsX9aa6oJWZtyBKs5Tk/FSKW0LztVrqmaD6gouXvz8g7wa2Zj7SIvO
47AMiOGaFqaKfNpUdTvS/jKv2VQCAfrB9PAYhGi8Bul5Sck96JbztjWHgIurxmuuSSvRTUM0mEcw
d05ijB4IQIbSx5+7H1b/nIbcFAm4apXUAdh4fOFZfZxMdCYe+QFvZY8Yyx1N0U5Vwl4pz34EBIJ3
8HUMwalNjroxvWKb3mPFxgofuk20fpUI7xQwjB4V+MYb1WOIJRAval3N2wpSCIATmZYRyEoav9dc
xVd6At1419VdnZ704EXvVY0+73UbM34QMPjKOategVXSXbyCqfIrwDkVnpdjhMb7zrQQugbP3S5G
XpnjKXybo/m4cahqv6LHhgJ5SVAJOEJzyzxT1X26bbernAFHCfAgXi3uOlrz59nHCSd6JKAj74Ld
XLc/6jG5HymIXLjze8umHj1+hPVJnzyEmf4m7PIyxGqD/SvBrIwvWzbDzCLbXRax88xtXPQ9+YCr
uuRKmtsWY5Rv/K7QupqOQ+cxPGvVLUpuQWE12C+vblc0M4zPT1IFCw4u+ZGoBWhRAMGXUHZhvP0M
UoPTYP1ck2AvsQgAWWt8qCI0XOpu4Tk41ickvXKBLcGPKRh7uR3YzA7ekt7WfszQnW1/0LC52oQ+
VTJEeNyxnS9gjfupRB9lGcI8EeZRbOFaNhVOP0An9V6GPZAlqwV6F2yn1YrBMRIHUMB+IYwy2Coy
PLA2zoDzJJeqH+7URBiiAsyScBlQpgnQfvcR3tbePh5HuAWJfOEUSTmaxB6tZKEIfW3T5WtrKPpc
a3c2/QrOY9Xnqt9e4wHYTM9ubazQENL0qq8QKc9tvweli752+k7ClB1CouqCesrPZ+HDLGVhEWNP
i7Rdibj/EcY7BHIQfUfoN+7NhsM2TPW5FehJCrQL8C+u+5GOV5FOYVOwhgPuSSDlE5zPsEiwGyHn
HnsEt/IxzMkJJfyca3tZlPfCQ3zUJB12I0IAHDfLXvj19zbLjjF8I+XhV6s+/aGX9ls/+WcRNL+V
Ef+nkdn/ffMk+bfz5G8/n+Cv86T7Xf+cJ2EkUkxtKUkw0ZMIhcl/oh7YM4JkMIgI9pn9Vjv+Y57E
/0fL0g9/iw/xB/4h7dz6EaSHCTQ69s7+LRoWivAv2s65nzROEz/G0pPQab9fZD8XYAUxciU31Tpd
1XpY5LU2gaVFK5Yeokg6gZSaCVLpp2pSGERsqX6qKd02byv0FXoytmwmyQsD7YWQvOQbIhbfyTLl
dzRXWfsJipjloRNv1psAxwNhBw+MC6rz3lDKeAD9+mpm5fN7Dfz0EWTiMTM4lxIc8R0aQjVh3g2v
ZGpy3FEgLb36zfa6ucPbyOhd09nkLpbp1AD3r2A3UmwlUWVcCSKfKMpa+2rMGrODR1ZpNP+mhr3M
kZhw8HDzyqFpwfpydWRN29pjQMZrtHquzBw/xHVkgW/JF7J1T3MEgE01/VdMLSKnzQx+A+uaRt3u
wPt8Nq7dMHrRDZ0DbC5ZX+aGxai6eRdv8UpPRDKv3XaPCBFBmVoDalLiqvOj5hXLJNJCUI59C/Ej
T3Fut+gbW499C7LkSczRdxJhHpgEvilxqu+TkGOYwHaNo8Gfnwd1z99tiDoGN+xItsyUwwCqRHTp
09D5wV5JDlMZzbl8bYNjo1F5WpaxFIadwgZ2XyyAGKPXsuUT4XIXtANKWMRewVe7r4JZFFvYwDKO
gqPi1i+CFBd5ZtfgZBcfVaiZfCMKg9Y8CbTS4gqbM6YDjOiPulFnmiXnCeEXesIAGcMte0wq8Hzo
S+/XyvsWZ9u+I+upr/qbGvNGDpS57MeNHoV0FEbV/9DKQyLMDExIT3w1TbYCBpFf8EjrPMiW5Egj
AMZ4vO4jH+pbp+pGxzD/oq26Q83uPq4VDIPGf6h6D7siOpQuyTrGBeDkyeHOCN/Ul7lFSKVqfaXx
CWo4l1gUxQ5rjIU5lAxqhxz3JOCCr0P86k/6JtPsqdWo+DIyvYi6eXCtG+zkmA9+Tb1TS+GJLs34
YJPqCSzm/TbMeEV8EDNYYlXnGWMWk1F1N1fb0XaVB5LI+zoOXlOSqOcHG1cElZEMk8YMaqiOJ5BF
JCpRMtquVJ/ctuiJ7VUaw/eeZViIpdOYPs0Fy2e+YeHWFZsRymJX4zVtewBHJDljRZWPDBnFEVsP
hY8XoIz89mMkvdnbTN9mY/Rl8SBIYJAseWsFLZo5/CHsjNunVw/z1hd6To6bW6GVJK6PKRUyXb48
B2aTRy/C01nVvQFyxTCzBtthTpIvsYkfYXutp0Vx8LljcEqR/ZRhml6aBSw3jQZ0vUQU7c3Q3rKa
ltTjD6JbbuoGz7ZpELAbyEwmsruglsOe4qemHUxvwnIYV5sPkj4ZH8k5GcmPKohwI3dfYaieBhMS
6FKMjpUXfI8m72Vqk6wQQrwIo4NdkGE3mtX+gVHxpmx0jhFWutEboUV0lUQrvQ/btE9QLiUWlejh
M8TkroJ4wFsOkTbHwzWyWL3bMOeDbvocw+BtSLPwmDkp0EMTbE4cpLoBJzCCxcY6KsyD0BCVExMk
0Y+N1IA1e9IdLVEWuxQgPkDZv/c0etQCJTiD6gvg2cqUqLe1Zdv3MN8YuVmwGGfH4/D7slnkOjG9
bp3oWZz84U4ILU4SZainIjpAkgzk+qu34E32nYQilYlvmJNVyzSsZeoFTRlCcxknvmyKdUg+9Bh3
wgzjDeQdpBqLW1vatumvBXSchZ4TTtgJJ/GwMaLO0dvuin5sv1InBPuq3XYxtGEdhU4kQi4q6EaO
3Uklcupun6abyHEebgcJnTmmMRqEHnDZ6oD93s194yRprFiW28lgDNIi269OutLYVvdUBv0+cboW
+hZQHhY+Ock7DVjNAzqeFFCm9qqZ5298IO0egXJ4FfQhdjP12KzDYSQcGym3580IfDbGYjp0khsY
Cc5V1BTzGHocvTsoIz/dwMGh+gXNXkG7e2wTMBz7cV/x7R59qRL9jMfUQwq/TQPad84EmOEG9HPz
JANYjoAHIDLDkeUz5AloGv2VDkAmhTMWVmcxWB9MYxpg+Z3fNXcaPoSsNlJyZ0308ChCXV0qeBZ8
2O4WZ2KE7UDKoDLIG+BwZHA6Uuz+6qYKeiSBq4NQMS47+CIqTC1gG1gl9QbThMA98Wf+obh318FV
4bWnCgQCdNeOPmRI1H/vtuRHLUi0186WGZ1BMwP2L01H3npn3ixwcapsBhDkk6U0w1gVCl6PTAU5
tmtbvwxNV2KVzRt1xlCAVxd15B9oR7zFoZfHjb7pFzzKkRZfqzjIdmjCcvRXuxeABixXzoIK4EVt
pCel17FrH1wj+i/83IHJLCLcqbGzskDXfl/TCTB0dUmd2YWs6wrFg6wc4IO1sXwV8MVWGWDbl7PK
RiRB+ECvBkzBCMC+eZiKQTvNOcWcjHb9Ec7O9xTz8+QG6QnN3anHrxrM2KQlqPWfRdugZZJg7Ocf
2dx+ou5X9AuQ1xbDOvot7qnB/D5hkN8ms+/cZM/cjN/203l1Uz+rgnEfQAhAMIR5AGnA2hr/Mg7w
BcKBjUhYI6clsJSCHTC5vWMCO7EVyx+d7gghQDanRGZIEgppUmXm1Q/xhzvNYqr2zJ2KCYX+GmGh
W51A3/QQOiQRWBslXxD5QgHJ+hA7TWTT8Gbl7Hl0aql3usmDgOpZdsEOyKwEjfQAHsvkSRv7AEPF
AZD8Vi5Bu6O+EdhCA20GWLMGnYFXRzrlFo72UTgthxrusmswdyJRZcBQofhkNJ4SSEADKdg4TVib
9Nb67UHBYII9EaSH0crSXy8p5GTjdCU4T1EQSM22XXpYHhhkwu0zhBilpv5MIU4jp1K9ijT4sIYP
5RTsGhhUUHuyjGe8Pk+1XVHz1umL3yc5FmKhETnu0mNYd8cAdaJFczgnYX8vKfgsuGeMYs9VFPve
a7MoRYoVzOt4xUGAihCL2ZZ02atu8ew9dta8SxIzr4wqVWMNXGIY2uP8ShmCr4KjZE889C2zGt0k
BScvaftScs/sWaTKSPC5rBb1BcD+tpMpnJfF1j46si32hchHE1GUt0MUOtrxFVts4lxg8PIqhKLY
YH9qkugDizvvVoYNAE3S86JhWmAnEN4QziMAxWbxcwTMK64T8C2c4GKbcKXh83OfHWbzObNIS5vL
MPoRzL2oXHVys2h2m83JxcHhuZzaDz+DU5dFF+wdxXSj+k/cLSiRdV3BZfo8MRZd6Zl837Bs4LC1
MFrtkh7BT91htSC2kLqFHpASILQaU0JufxuNOIawaQt0qbb9MNFLNGDjBmwVqbEFMBbKHHHuXjIT
HhLYUIVERek4L3ij2wB/YTw2BY86BwEuGG822MR9i1Izpt3M5+98YEXU3HKYPm1sQTMCMB9RXMrS
5cYDvQuyQt+KGFrYjijP+NilaOFJ1+QmzqxDCW+i4JbCb0ALuRxHr75aiHrFFoeTbtibTvRzn6kx
bzeyQ5d2pcnjWk8F5t4bOwTvrMdG0cnDySjq02aT7dTO3Tu+wOeGebRMMAvuGtgJZ5wK75FQy6vY
kIKroT2v6JmX04LdGFZs12ax2GVH/S/9Qj7Wlt8bIz94n2I/46TxJGRvXazQqG1eBVa5/Icm+q2o
6vLTfxMQoRX2ffxu/yrp3e/7XdLjh/aA4kGD1W0CRez6a1jr/wPNiTAB6Ia20s/u6e+SHj8KCHoW
MRGqagn+tD/0PKJV9yMHHO/7M+D9G/lQEv+FJoIZ5BaQpiGSfB+h8f+p50XfRcri1b0R4bbse1JF
gO2TtwRJokrmV/hXzxhZKuSMcJB2AXLHWdfPlQsirYske2STAzJK8ITIK0PDn4ULMH0XZWK3wSfV
2K5j8TL0SDtJLZ32UPsYMqZoXCQKLubdcyGp7+LS0AWnrYtQN2Spho30WNXjlXRPbOseXTzCEo/y
5mmcP3i2DRs+LB52yPGPEQ8/Nv0FBdXrNcwrt5MIb0iPV2WeYQnjoFheUUV4x4Jldpa9X+2wXIeW
BC8bx0tH3NsX4TWs3PtI0+244QVFueAGjcLC4sXNxgPHazy49zluzTPU+hvaA0eDF35yb34S9GU2
YWjAqeC3oPM7e7PitHAg6+COD2zb+KZwnqDqDt+cmpvMMZuKBadI7VsoUSxdLoLgsR6ux2Tfa/42
uHMKX+JhcicXaNiyc2eZ/nmqufOtijDquBNvodgOghrJoa28C3WnonLnY8XmnVHtAyr7F7jE2z5y
ZylWKR4H1X0b3Smrgwks6kgOozuBYxzFFpU0jDA0J+6UbmT4Xbtzu8MBXuEgn+J6y7Nk/CTujMeC
l0uDVUUKh/9Kq8wFLxeDa6HrsxuBa4K2ceRs/oupG0jApEywFSvX7m7p3C0j3X1Tb7h5qLuD0BAe
ciw2mArmbijm7irrbi0tYFrr5CPuvRPyJ72fp6CoCBDKILD3JqHQ5ih00iH8amFIFNHQPkhftCgM
jwevD59j+L+D6MYdwf63y+D5py5V1327voNpe2mm6bMfUoA7xmJnC8XNr9q5LeyI0Ye3+oR1jtgD
OvDXmQHe3VJIQ9aI+wr6CMto16PwtdqPNRQbMGCTc3UKUfhD4pD+wOeB/Rv9bTQ2YMLJIfY7qOZG
gH9Og9x24WO7yffOZ2ftm2u1YSrZtLxCOHMhWFIVCCjqjvSndEk/26k+ZU2NgDHokPtNT2Zij/3s
PTNFT0Sqq3mMvitKT5zUt2Bu3+XUPVMOodFt5hKF4zmc1fW8AC7r+XrfieWwVhiMZgqbzRxxXZ38
MdrHNjoOdXNVo6+cjzY89505m4ncYU9Vt583bMip9ReTNG5M2PbYGXbbzx12Jm3J1ZgFD1hVfeZs
OUYcrXXbifnULsFtBKushhkh++XrxCxgkDp4nNT0Cp1+rtb2Gp3ssqntgyQdOHG89LzDujHDXmue
HODLHAVl6Qn3/IEuBgWlRF+HEjUobKG7j9r6FNHgXngLUHQywI0YT0tGvpDVuIYjVvVmwfxgmhgN
IFyjWwJjR27iy6xDqAJURq0ug3WD5ZPK67Cj71uK5pNndjrDdM6WNwn0bIrJj23CjIa6924Dssyw
Ftq1U7Fl6iFgiMy61HQByk5wm+wahmjxim030u6Mye4CHvwE6ES7JbJnbCm7jZbuXGFNSN6q+tpU
EMfY8/O5YALNvbG78Uh2GFR2M2J7C5jndS8G4u9Y7L8wf76gZfcacg+gYfu4uY8QFZPP3l/xNtZI
ZMwZK45fV7Lchr5/QziiEqyU2o3WfAQeKE3W1xh/hr4cND6L0Yeknmt2GFLx3ofhtcVWASxkHo9c
tQcusW9jov5LQgk00YIVa8hEJ+8eq6Xg8EVPST3vGNs+2y553GJdX2Q89CfU9h96gbUHDhmtYBNG
W/zu9/SQBFUehUDvW02jnRnX4MjXCO9y/Z1jcWqeSEXONrEXlGMCrCHDPljCMOMN8QjasOlRG0nh
8tXkOIn5y2TY4yC3i53rp2qcjtLbYDCY9EUadsB/M8b67lUPzYJVP3dospctWYqgpRbHynqII3Vr
dI1Nv9tUpnQ5et120Ft6GieUxjv/ONYZvjX+rTdgY0+z2Ptl/i/2zms3bizdwq9yXoANcjNfniqy
cqkUbEvyDeEgMefMpz/flsfdltpjo891A4MeGLZUKhXJ/Ye1viXu0AQ5vopv33MaZo2DNt5UunVu
M857P2sVkfn9WMcfzDzuePhb9lEUAQscJxs2UW2t8nqxV7EzcHcuJyyB88pqeEvzXME8mrd2WLjX
GBicVd4Nhb8ocb0SQ81kcsBJwGjm88Ca0bAAWXPCUNVjFvIqka3BozAIkTw2tncTqLRVObjDIcmm
nLp6fi6adm9yFwO0ZQqv08gzLEUUa2bZ/VCGAuKy1XhwMDEUgtFSVjkWznWTh6dR66pLwXb1IdFs
hq0AwJVN74zmTTsWyyEDa8HkKDNoywd2dX41LpkHx+Y06s1hqOJrBsEbY4LEK5YPeR3chnVz7GuQ
ZhjY1iJzIPFr9QPDpmRth6PfAPNfDem07Q08AnrXfR6Sfq2lzqMR6OdhnDlkYi/vh00XmKtYb99V
KgsHx44+8WT9gKRqF4zRRTWnpyDRj+xSAcZFsc+FVOKFQ4C2mEc7zs8YsfW1BSwvwTwAduww9BzR
zdw7ntUEl0RlOJKWt12bxqwdl30VWidzindas+Cor/a5O67MUk0Bg6IbthIdhnl+1yG7xqw9e2Cx
3xXZWKxzJT2q8bhXVeWMvm9NKbQVU70Hy7lV0mgf2vURocY9g79jVmiHRuek1Z1N6lRf5HwsScOb
KaBSmM3KX4LIZ2C7NuvuKY/ck1IU65aLbpr6Y+9mX1AahXi6i32pxreNbMNFvHaNZF7pOVvnSb1r
pQ22KxhyQzWlXw79BelywEzMlRLh3m03XaLt8l48DA5urQTeKkPPtY5xgdKihjKY1Tzd04cMMhWL
W9h0jfDdtGcGFGZ7pUo+uG6w1Z3lWoUbyBJSe8ciY6Mn1X2pWaoHxTgGmRx/DZpyWE/J2PtdpF+N
pnoVhPrHSe0sP04qaTHdJm68dzG9bsIwOA7p8lTN5hWkBt7xmAHHE1wsYTmaqHDskVqq0vxgtpxL
qZWHwuj9MnOwHHfqTWYop6xDQayE+qbFE7kKGHCsmlbNd9FsPZpjMt+5PGk8ZM2naXJ6TxnL+8lc
birFehQiCTZVXD+ouJ5XqtVv0nbI1kXLu3YCOjr56KkB8Q3sv3YhFGmmiOkZPglyGGW5KKI5VlpY
w8lqJ2bS+TP2k5YSscamwp9mlIjaUN+F8QS6csn3oy2QWHT9aWnkqW0aD5PGjZaoTug1kwvYaTbA
q8ZXWIfWBuD+vR0t7akKGikv1u8FwoXD2AQ3bps9qnFl7OTtbqHnX7kFp3naDPqjE2GqqowbbZzi
k6szhtaqfVip75ihr5bSZDQ+9tsQFrqap6c6VBnWGw3mrvy5dwCPG9iqQ915l3blIUbpkQ4WdeY4
wdnoHmatvnUnUiyKyr5KtPAqx5GW2cZ8RHD9oc7cR2PSbx2ew0dTTwqUDRai6c54XHJ377aaskbT
XmyLgW+sQJQvtRhbW2EMuyTDWtQWFadjaOSqfgeeV9BG0IsbvpPNhkjWqW4pvtBiaCrrHzq+3+ug
ZTYNlncBaIiFKKvbNw2UiFV1EqKIL8zZV0VxbpnIusbdr19EqvT+UvHhynx5EUtD36frGO3fKGrT
YGp0pW3jizrvleKsKgQQGO+68d2vX4ZO9O8vY2NRlMHhUi34uhkMVNWlC1Ap3MXzWL5X9N8BXP/+
/VlfoxZHNM6v6+3vqnVnqyytPLsUIxfazgkQX/7Zff/ks/jJz29jkuU3xC/KRHf5+ucPbUbgugln
xKHvMK/N/wjSIXD9nHTAGv2Xv583n7VhpZDqeZRemGwqjM4w+NmegTnwKUu8X7+Vn7yUxCngJzLY
tbNxf/1WMgeK/7iU6QVaD/PKDriRjMlYcwwjCvv1a8kf+83V9epjYdrw405f1WLQqVaWXSokxiAM
6Ls6j2fqPGx+/UI/e1M/fv5v3lRhJ27JjvHlhXRkRdFqijacI/Iorn5zrckf+u2bApeBlobTURfi
jVBBNwtRcvAWl5ZVPhEwk28GX379dn52uf3wEm8vt6U1qZVMtbgUzqckeDSU/8flLB1e0JhxmyG2
eP25sFE3O0MRxSXhCagjlJz/Hw8vfDWYBZj+CB2c/etXKJSC+t7Systifxrtqx41ntr95tn1sw+d
i9g2TUPKpF/4aj8oRhB2omFncXdpKPzmNWpGzbwBaFFWHrKLX38iP3ktR1L5hWazKGD+9Pr9RAEU
N5c9zgXpwZwRPrGOIGPVq5Ia6/blpf7VMMlksj8fun8zp5zK9n/+l0jO7Kn9+9RTfun3qSfZihwk
tsGh/1bIpDl/gBfgKP8G9ZMYgu9TT+MPB6m6TGnjxmVNw137ffApSOzEyYRdCwHLCwbhHww+Xz8d
OHk0FAPSp4kMX6CCePPISyB4OmPhJlc9PnrThtG1NX4XfSAcefv89Qz69iq6KbB8EgKMlv/NeVHT
U2TmYiZXXZnEmVc6Ko88t0E6HEDR8xMdFH4J0/Vkhw5g3ypK1tlCYctG51atopsMG5swo/g0qioB
I5pirjWnz1aMidS1Gkb7UeT7fojO8eDuql47cWbcgL0910t5pGS4xE14UJN0XuVDCBhOrcGNzKQX
BT2bjli4X7UpGlfIavnLLgVenvXPsTk1lFMWTKwm6F0wOnz9ZCts1dFCWYcRFP02GCfb6xQkz4lL
UT/1S8nGqCsgVwvjA7RWe2tnpv5R5EixFAwS21hNI8uP+rrK/BLH4n1ZaogDHDRDu9Bl9b/XdPY5
q0F3rqy5naetjXqB9RssmVWnV7rzYRE1A8NaQIhWFsvcauU4LfUa9zRs2nVv5t0cINMxlYtTC+XM
968Q6IMtVGiHSql+LY3Ys3pW9G4kkLrYTrzTMyM99FNtOde8Xqt/NOfQbo9iBufghfAKSnIbputI
S1hJhbN7dBvLPgxhHz6qFGz3gw2yjipzuTO6Ag2zU6ZmwwjXHJedEw0BnLexdd+XpYPGrDAg6fVo
ckQFySHr0UTVYTjvB1A3V27f237H7/xEGdN+aqPwOM0MqeaJCaFbx3tF5JpPIUr/nw3j7TL0h0Tl
MeeWmnsbzqa2QmHHQnF2o01ZAZKZUoPuU/PsOr5njDCc+OgGz6oxQDQdYrtWWMTSZFN8IFEg8m24
Nduuy3CFupgu22hgCjmDWKZP2I1GYXvRJNqbsEo031HyM60fwTktoYFNfGOUJgSiPvECK9uRgph6
oa5et+5418HXfR8Ok/Ncqjg3ktSzxsl6LuPeM/PWS4Nae6cq/Qb5+UYRZeq7Cm2S0wIypINqrepr
23ZPRcwiJpk/4JjyGn04uFO+4QGyso1la0zqeXYGD7nzjkkcTVLkQQL5rJr9uc6VTTZqvt7Qzffz
l4JBalh+Ab6veaOV6VtAg/wQ5vBoWvHnbGESRQ5Ae+hwpUDsXk4wL/d6KM5ApryxTx+Jl/DaTkew
7Nh+MFibUDi7Xl0Qjrd+mAeEO6g1m4wQrzCY5T2r8AQraOSZtn3Ne7w1+77wpngJvbjBjGwManxG
OM4+NhA3XQYvCfb8MRQTFzNSo6yemIMGqGWcfD663EQq+VbCbaD3OCen0k/GVN4rS7dOEQdAO7kp
6upk8+dBuCcmIzeRGx8yUfnkW8XkFwDWmFNAdji+131TvqQgXaVK+rFMtY8Vyvy4TY90yoek126W
UfOAMHtllp2Rs6/rrJ6PjE13BLZEMKfnL3Vq73oC39ymgtOIun1exoNTLvO+XorigLQOCXoA7Qqc
gTeHYOjMSU+3tVttA9q622VW6t/Umche//7kRe6KKFZ12Grx/28KgVnDjmFl7GnrVPhD5lIGDBBZ
c0Rvpy7XR88m2TEsCVXLq+VJq+r2pq5T9Z0DI2aFD+C2b5KTOgVe6tr36tRtCXZ8ZgAbYmUBgBcm
aO0syV9auKYzGU0WUDePCbgyox6EZzvdDjHAZwSS/RpwxAeBi8EftA7LMyaPVVasx3rdTnutSu1V
FxRbLaFIMYbrjIy+Ngc+k+V3vZ0cQMcflzY71L042VV5clrhbrsRpHs7xzsxRea6HVh6BCytIoix
VKQ2K5n21ph7bQ1F7aBGLve1HqqnoNM6pCfT+yQmCdS1euaJMzP5eCnYHYMwm2LprF+uojbZp6O5
NVnjeDHM2KBI8cw4CJJymdaAftUMqxPWHXJtCqjsrAayPt9xrjUrfsqFc61F/99c0iS7hfDLKKQY
ALjg0V7rlYqFpLlmWjd4Oeg44seS98bM1iec4k8uwkMiKmiruECdZtnA0ZearK1W5RLg8ZjkzNN0
a225xm7kOaS35dfStU9qjYoidJWvgWYtK6jliHphGqZZrjGHks+y7hTDCxNqtmFIiGxPSR9BeGnr
pJ1T34jCi76YGn0JEymjSgiBI8jlQ6kToohJs8EX91sb9ese4qVEsAh+QtYt+xTDfVMiJEzbpmYg
NyboY09PDvjgflMTy0bnryKEb8n6mKmB40KfwP77wpP4of4mLKYwyQYLrzIL9qR1wWSxi6vbZoQn
3GTrGISxm/g/1ITX3777j0hAeojfvKp83z+8al+lXWXoinJW5+IOQqHOULuA6DY+hAa1B+zXZN05
5r0V6HsmrQAMSPngrhiltoy6vWiWh1KxT3EHdLnNo03mjtpnJ2J5mKvJe8vJRy9M56OdGY9WQOyG
lulWz9VUlH6/2IXvVAo8DGbAa7uY531PbsHnski6jbFAiIjj+EvGterXqhV5PIFnr6MbXw+9e9cb
jP55Hr4HoSb2eahfR3P3FR3ojkPpXds0G0tC24UJ0laNFD9RqVAY7RbbeenVdY1Gz2tGE8Er5Cog
LmjiY1hUegh+yJ2PXPTPdUsGUFvF+8ZQ4AkY76YluTfU9GB2rJablGItDkj/S7oYKVpv7tMlOYoR
GfwcCE/PMOHpQcpTVr0fpNspTvKzE03bohn9IVi4glU/7ULSPfQKGETurKolAYObBWcWnGtwTDut
lIyOcLoDnkUBVynv+g6FuK4TcbjYHetSBOtaX36y5C5azW/qig1AN3XIaA5MPRWgT+zMCgaQlaa9
L+ZoNwWIO4emv6qYa6A7NfcNi0inhlYREFBQm8Y2rIyTzSruN5fb765xWYj/cLWNBiWGWLjaklNx
HV4pm/pYfxi3yx6s04ktWrT+IhjPH7QzBOLjr19cUsh/coNhKMeLzxxQ5sv9+OIaII4idQzlXHnm
qjiJdbVhDKwdlXt7o/rq+4uyPt0PfsIe4xP/ya7mk7o6xJsABsUq/81P8/rg+3a36ziSmX5ZtFHm
mxHYrI5sXbQkuorU60rPVrF63wy7X7/j18+sv78GrJsf3/DS5L0SRQQVl/VTCAVuvvn19//pe0Dh
AqnA0Jl4vvk088lawCnVHN7KdQ07qjGpOb89of5t3+UU6r+379ccwj+LOpZf9b1zR69EaDETIVuT
ZH0ZVPinBYkQdZpvGbTGTO2FcvSfzt1Q/zD4K40UQ4mqBdj/V+fu/oE1Hnu8+eI/kmqmf9C5I456
db9haUf5hDuenwKKIuDDN5c4x3RR6MGsXcxsJA8dUA4lt1On5yTI1sbS3jjRch/AZxF1l21HVK2U
quR8RAELunDrBgSaxun0vukIhtPL5sYaSsAu6rEH+GblE7aKlsSeHX6QxzIMD0EImDW8aImL+xtv
9Ro5uevZGoP+tEXmYc3L18wgFGzuzZSECefRJtbCd3SFw2bsHpcy341CDz3dHK7jsdP9miqIv1eP
y4AbQbBnl3GSyLCzD4XS06036lNctc/jIr46PIhRXqYRnfV0lzsTWOkJDtqs3DcL8Bg6YC+B+LEe
FveqsOb5CA/61tIob6YCps0UJMhtcBLQnjybQW/wDwEsDQDpBZpOTJJQKgJDeIQ8AcQt9S9q+mDO
1xEhP1h7AMACerQSVyKpuwY+BukHgHBVNsl4n3V2MPo8siXXO/eTFmPv9uOpYYlWDGg5pyLdcbbW
PhApgp2hnPoq5EQ05a7cCmGGB7KaopIZGgBFcUOJFo7dDXIgsFFL1twMBFfCrUfqWtkZvyoYaVBW
DQD/NabhvEgFO3TroVwaqKy0077RGMDAS/TuXR+Zq8kFlBi4gYkCYJxvuDaNFZIe1UvGYR2VVnmA
qZEz4jDic2CqiTe6fXuIwsHeTk04o0DO+tarBb2OEunBVkv7Z+GWDu1A3a/rNAh3mqV8HigeEDC7
VPgSqq/VBMkS5Vju8PI9AQEHW1ITX4bmRawawoagDWNaNpPs2tHD1KdPxBquzLHvwqncGhmpAunQ
mlug8U/5pLlbYrHw7JLCdW0vZXjgN0coNzjbTw5EE2r4WN0FpNvzgaEtLwRCaF3rSD3BUp9yOSnF
54oQv1UJr2DVmi0TFUdpjqNdjsdw7Jst6ZrxqlIdwn46K/P58AyM4eZzzHB6ZczRs6YY+hZTC5sn
lQKKTWyFsh3CxWc1R4sfkbywGiWaP8xZOdaVMfgBFmE0uEFhgYTqs8/cc+GhSQQm5yUtOj+iWVL9
SXemjTuYTfKcgSrbOZombgj6YTfKkO7YYWpAr1ThmVOnd5mihUjGMs5Z3U2R19UfgFqGa3UJulXp
jqXfRrDJhvZRCev7rCxgOoES9qN8IUsqJ4QxUe0cp3XyQSvK64SonI+ziwZDRGGEcsRxqPvZry79
TVwgvzFpIcF42/Xe7a0nBOYfe5WwtNABw+kqz2PSAU4s4kdwfQdkeQ+TNdpbnQzPdZY38iHinvlV
7PvUfS65T5We66LLnXcMLq5rLTpUWH0x0ZVX+LS+CMu9HzJlwuM1XXdL4+ydptmVS3vXLu57+s8A
pkwereu+AYdPqkIcxPNWF6w0QW4ZjAeK44i0uHGi21BtGI2EYM16ArqOprqgCU7q1ViIXVwSQ2wH
F0cfz8qk196suw53Cp7+gotNZt4V+LTc+HPiFMVHK+2SXagPyB6MXmet7RoH4lzoxKwSCIWZf3Zb
Kvpc7QsWyvV1OSp3lsyISGRaRIhmZjXJBIlUZknYMlViVjprU008k4JyDG9ymT7Rcrvc9PLmWWQ2
BVvuZNfJvIoEmshWpVa+zWSahSNzLXjC9NtWZl0oJmTqyiD/YpFJGMlLJoZMx5hkTkYgEzNimZ3h
yhQNqzGfybBbvNRY9giMLiqSs5zgDbMnEUQfVQEAg1QOXeZzkIgbbyLbJLNDpndgsSh3wiLRg7qW
jAsyPgKZ9iFk7oeT8NNGMgtEyFSQTOaDWJF0zcnMEBXA6nYseKemTBQBXEZeekLKiJKkkQzpRpMY
AmMt8oxwbptckpcT/t9SR/IX/3ups82eip+gHuUX/VnpaH8ASzQ05g+GK14imf+sdMQfsh/nfyze
BCLsv3YU7h/sDsj7ZetPONqLnvv7jgK8syP4XvxH6gGsf8TR0qzXhbasdEyMZxbfkwepIb/dq0Kb
dDJbTL3jXkTeMGk3taWCZ1+GxY2uMKTwzYj0q48ufewNPPzCOuRDXKyXwT1xYJ+awk3x8qSfU3J/
JP5mEF24mQ2DrHtag4l2Tl/2BU8Avx/cGzzEzzI/aw3/Fq+S2Cq2WIdtjJEUQBfRFE6B+adSdkqc
fTYbMlHspDyFyXiTylQLi+IAM+7OVgXKYYblOgEYJKNAvEvmLVlOVwJ7Wizg7CO/RD+qzrtZYw9Y
KNrnhGCNqR5oGB37gWCQPWORL5hVzo5LJJwMd7EeJdewk0kdlVk+sUNBmYNAKXFJ80hlrgft32ZK
VERkg7arif4AgTesR5kGkupK41cyIYStE++WzAGvLZd77NxncolJWgVIRttNzojArx0ZpPjofbhp
ZBaJ1oS2nxBP4hBTkrbp4NUyuUQr+8ecKBPiA7BklhfS4ZAx5YG5yWXuCTlP+zGGb+zGjKA0+C6e
Csh5VcrElEqC+DEm54yw3FNFrEpupvs2rAm/EcnXOR8c+AwQq0k6/eBkIC/0cP5UiB4OtKY9d0I5
aAS4gKE/JTLRJZDZLsNLysvYj6dSJr/MMgNmIgxmIRQmV4rxgc/zCNB7ya2zEbdSAU6YSHJQreBu
lOkyKBiT1tM0t45ObJ17PEaxnESQG1dCTaOecOuridnBPmtpdzlmo23sOM1EzhDIMWEr0cFOS5wC
yO73/F4q1TfQGm1Zy7p3Abkq7jqbtalY1SVe7QF98bZqTCPzsn4KtxqMzoxhYsOYkz0UyBnL2SlL
qj78+zhUMSfT9P/qcXh+ar48ff37zlZ+1Z/PQzo/U7BhZWIueYD81Z/PQ+0PYdBvubRysi2kvfu+
s2XRC0redqDRcrkKydL9/jwEZmawY6WZ1OFU/8MoNnq8t50f3SUPXSAYPGHZLr/p/HRFID+t0/Si
qUbXHPDTVzQo6EwVrhbC7f38xZHX10l9o9mp17MeZVqxm/Z7NSBLTVKsGLwlWPtI+CQCGbMfnpjm
qE5c4g+BBNtYXZGirTTEmmcr1Btsp2ZCtFolTIalgCfAGVwmJRvwP4hPxPTgLW3SYwVPh+hHhn4Q
djAdb3lKLQhjpw/Qx75asHgqveQb6Eu1CycTOKxDd9C6Nx0En6FEMpknufR34KutaGvfBxB/qLkx
y6szq51JuzhQgcY8kd5UQEGhRAZNjYPto6IJSsmVsMSjIfFCY0k8xSCRQ2VZDz5M0mRX6TmLQjae
6IIDCEJ19NCndYcNHHJAmMKXXiRpWpfM6f4FPz1KEjX01VClnAfMu+IGZxEsqdWke1DPSZJ1K5nW
qqRb2x2ca0sSr0vJvoZwaF5iB0ZsqMXaFVEah1qysnlUAglp8XtYNVPGhtXIJnrBaw+StC0S5z5w
YW8TEgO4J5IdoSRzg5wF0p1IXjcBJvrRqRooC7k7tyE/Q1HHB8NWLG3vpq2SboTUYs92qn3Wat3w
+l5Z2XWSnKOhX/WBwzkCwDYqCJkxwmWjmjnGAZfj6iW/Sm/SJwB493WbnkoVMhre9W0G+GiNxOXc
uMoZXTcXUh57ZpXdTlFxqETzKJT0lIxsm2uRv9PhEKBidb4Y2GNFaF9RWINyijo7BRc3YxvQ9UFP
EKlFyXJGKVesVJrXtMIRpRtDsE/naN/n2IOnAN7WZAnHz5fwyzKNdOuUoqvKRUtaSoa86RYwTBrz
C8AUbElMkTGgdq2nR5Pfa52MCXkfTt3kwak0PaYlGFpmtKM0/VcdMWieo5qwo0KSM1GTwv7iXyZ8
30hzfXsmuhQjKMBAk2LCWQhEmaN48NRJvbLNkSlzAxFgrliYqmp3REQ+rAEGCz9G/b5Sc/HRmjQO
qLm8G+0pXrnz6K6DguSpmtrXBa+1giLqAt+zn/Ig/IqeXqrXgU8lM5sqJbkml37kGhC+psJh7tuZ
8GmtSVZFObobh0sf2mroFWrThV6A54BDOCwXsF+JXaaHou3Kd/+eHy/nh9wM/fdy+vjU/KSall/z
/fSQih/NIj+csExUCG+gtDRxmsHhAtby5WD5fnqAnkXWg8IN5iVHzo+nhwGVFmeiyn2FnJNK+5/M
DV+0X3/twSimGWVyOMmTA/kP2p/XxbStVSEU76W7sgm0g4+FNob9NTIQuzbcrT04n3jWjZtaNp3a
vCSGcshbp5ejvlgkj7EAqUHWfdkDMQSylq+ZI3EDVIrZ29eV0TTjdTFWV5Wexu/wwAsX2vVib5JW
TiSzKPkIoXK5Ibw43GKzFJofMq8IGDGVWewJYyFysG7b0KvR3/RwEpUczq3WEW/9SIpuwnE1ZQve
JE/vLbrljSimWDvkOSrRu3CZU2Ub10EiQJ6FzHPY9tL54tufhs7ymnJMcBcwiBtlMzqkEK/HiZx6
NbWaDyQs9douRZ27+HqLVdKbhcvAJOt1qz5XdqBQChqVAn+kWqxzP7cRtkpRWnexZclb0a5wFtCt
sKGN0u4u1bPG9cFfZpdJWJHY1jZ/nsO2fFhGOSit6jBNGsSfpb0HNqSr/w73v9mR9V/eonefiv9Z
IYTpyr+XefIrv9+oDPglwosBv3C586Ui84cyj4wCVdisX74VbH+WeRiSJZVW/XOI/0OVh1NZrpkt
5LYmbe8/uU9R4L2t8kjulU8DUxjUldSbr29ULkDTHFJH4YDJEcSV+yEOxlWRWXgHpMEyteedIi2X
Cd5LlVpxzb1crUY0ZaM0aGY4NRdp2ay4Q9dYr8uVkIbOWlo7YzyeI15P0IQfK7U+zz1RuNIMSkJo
4xv4Q4NKfx/iF82lcTTsOOGlldTEU2rhLUUoTfy1rt640nY6OpiOGnAL6mQ/T5K/kIzVXQ6QwdbQ
ai3pUlNN2QuxYfWD0aMgirUK4CFEhySsMN0BeSBCqadBbLaj5D/gasJO2YPHfIFDmJITsWCGUrxg
Mj5WLxgJZtcgJcjXk3yJUp5wVLxqRZspj0LygRmAczhW8pgc5IFJ021jLtH9QR6mqTxV5fHqFtk6
lwduryZfO05gRsjI/eShrHdXGYymFqVRII9sxuIcrJzitjzONc71RB7wk0vhiiyQDKJyOFpB2x5q
tfiMZzlpSI6IQFQDNdSYhuWGuKnTMGVpYEOjn6E/RuCCbLYdBLCo3qQaD4VRfmCEXF6qZSpPcDXm
tWK7fmG7Fz2s9kVWXrUalDAstJlrHyYzeGBTpVX09/O+BGvbF4a6h1VDccf7xi02YQ8m/2ylZou+
5ue5d8IuPpBQGvoVv76VowWKtEznF5TD7zJpy8sr+niM+UfjxbPXSfseRSWmqubF1aeNznkR843a
kmihWqDpEmkCbCr1LsQVGEh74IL0ssYvqOBohFdxYyb2Hsv8Nh3ILZAGwwGnYefkl8mlW56EnGAM
awMtTTtSeCUmz/88uTcxLdoliElMjLl0M7rYGifsjRU2xwa7I4vYh7jTdpr0QSbSEWlJb+SCSXIa
gIGqGr7JCQOlJZ2UfOQEo/bJU8KweJBuS2UOTSpRGX6EFXNamF1jzSRCww+kV7Prs/OCeTM3cXHO
0s+pK8Zd3I+fC6X18/Zd02va2q3dmxAjaMVgtqiWAzZ8MNDJ6CVYRluso/GcMJxnyYWu7GMu3aWA
j/C24zfVMZ5G0oGqSS9qjSnVDbTSVxF3LNZyBRXlQrbTvcDGWrYKcMCJrYD5GQERtn1peA2jy4gI
s27GU4QhNqtxxqpi3tTSKxtjiw0wzyZ5QSIE43xUJ58H6a/VyfB1peNWx3qbZfwzrLjACDvMa/ne
waRLYvWRf7lgpcO/a0snLwMyTL3YjuY1C2qsvhEjQEKNrPAxoaIvzARqi7QGK+0O3/Mj2sfN6A4+
XnrGSc7HDksxXD4FaVTn6VoPYFXHVlo9zNKFLHJ0HCBcTo7obx2tBgMqPctNoz/EmJhHpMKZdDWX
jgFjLNwDjrgR0vc8L8PZlE7oCUt0ULA2QIm3izBLx056n4j0FKrte7uo1BUDs9sOe7WosnPE7DtV
+/s0N+4a6cPOMWQbObcaBu0Yo/YkHdvhTAoyYrFdJpBUYOrmIjmU0uUdYfduA3WD/pVkrH54IAoR
RjFesgGLeIkejPyJI9JfZLOjskfdtVMxlXdAvXJM5iMBl+6Snia323bZctNJN7qd12cde/pUcck6
OTRCjOsBBnYYhRejNvcdepLWqA5s7pALRx8GjO8mohza9YxlTbAZTJxvWORTrPKa9MwvmOchKJ1o
fggjRQPWYq+PIEMhefs4Ybt3s5DWdkbrUtZEL2LNN4Z4U2DVhxdxjG3n+d/24dv46Ze1yRkJ3pe/
lyXih7KEcERZncutPhEZZCG+KksYhWMkoCT4T3TFd92BxhdhkKFHwC0gtQXfyxJD+wOqCaN9nSAK
50Ws8A9kBy8Ztq/aB0POnSClaNRA+jet/w8So7qsjQ7OdXRd94np7Op0hNJl2heN3TDVR6jIKhnm
4WgRDU1GrIv0HB0AXffUkXuqwoa4Gy0tdJ9HCGRsZPXgE2LbRPUB9WTKkfaHTAuN/Gg6A2bZ4bWR
FjFb1dqIqgH2IpuAabWYCxvJrHUBiTArtWVW9myBRWUo4pLCjl8ZIidD4TrasUlqQT4kJgjNCRE7
MIfGTVgztYyQ6jFrLiHbbQoUFvi2HzqQt3nG8WBdul55Mgmq2f576b9c+iaLm//eOX8g/qX/WY6E
/LLvNTmeGEu61JC7QDN4tYrivjBtFw2nyWKJSBXmq9+bZ4NoUEavuGlwPKIvoJL/PnrVgQ4ZAoCQ
Trf78lf/4Op/rciSvTNzTA1LJfo2Uw5kXpfkk6qEQ9MU/RV95romJzFsWYI6+eqH38vPZKMvDtBX
dxk3smDXBZOIebb6NtxMy7qhthKjulJ7032fRjWr9BzlB14KGoZmrb94LEh/We442cIV8wgDFrcd
PlZl4hyQbLhHzc4Z7X5zbeDf0F+cHNaLqwOIIA6P4cXtMQb1MGwSrcQjwSMfF4ySXUbKWtgaVVUK
vxwziCCOEjKGi9ugeIjT2fVNZ2nYHhVfzMwYr2zZ5Bq9WmVrhNwZeNWAxVjGnFHJWpoJOx5L/aIO
mpmehiy5NF1KQDWbrXXkXgNDfDLb6mtRh5ugVd/ZwHkL+D2mYpVbofIu0P74LsH1bu6bU74P5rn2
9JTJY9sgy5/r54hd/1Jh/RbVc68Pd5kW5v5oNMkjm5jWc8O0PwMeba7q1rQOWeyeK7CJ/rKIlsWb
oj8bSVvsjCBSr4qurvx8CLD0Q4Fkk+2c0fRctQVJVovAXRHGi9h2hf1+1pSHDCwRytKIcrPrQmHz
FMEHRIYh3Yajom4y5LfoqJeYMLxvjA7Un+UU0W0bDorf21rju5M6PRhZTKi3IUp0pWlP6LTSzKSD
L7e11TlkBAAt+fU1JrjJfpBrvlzLBmEo5J8b3Bxc1q+vZTBMWG4omK8oYT+NLPLuljvcCat6zdR5
F2grvCN+vrX9xi+QjBob3Re7YP2fAMb/6iU2fyIbReBIl22arJPx+r7+OZjyjH3IJOUqEOEBec+0
TsM6WFWjIVaOnbrE8wX6phEWmnu6k3NoN5wPfEaQfPL1bM9XbqDOKxCgH6FMuJuWcM9N11WbwFk+
2iaNKRworF7LdF9ngAxFU5MdQXiSN42YVDhpcsiak4/6YztqxToJqMANh3iX/2PvTJbjtrZt+y+v
DweAjbLxOglkzcxkTZEdBEmRqOtqA19/B+ija+nYvhHuu+UIS6SkZCb22nPNOabp7miUWE26vmUr
ra1qhrZV7OIcywtwnRDC2JmsSnYAIwXXeoCSy1FFvx2e/Txnh8iH+DxKV2zrMElXrQgfwrHcaSI/
9ZLyV8WpEJ54o9luTf+6mtz93z/iXwUE/KkutkUITjwvERtpVf71lXVnfXQruJ1ndciTLQ8C9goN
i2FsgGvwsBia6vD1//4jl7nlp3fVn//M//ppKnKwmyEN2zN02WczaDzuaaU/t/bOyPtTWRMXCS3m
BLtGS8gg8plGMRFUoorBUcyrMna+qTHH9dAqn7jRNlVdn1DYbtRgfjfD+gXudg1ora5+9wv/aw4R
vCv+/kxepLJD+Vr38V+I2suX/jiX0cqA57N143j9j631J63MdCyEZMh+9u9l3j/OZSD+DAbYRlRg
B0DyfzqXbVrYMIp/fTM8rP/QC/vr246HmcOkTMuaqRpCtVi2/vpWxz2SS2lMzWVSBgslRO81SNtF
4SR7q4+KS2xYpziyo7NlNtuA0ORNPRHkmUP1VgTGbdr0H3yO65WUEXSu4RjZ2mYQ/VXK4k4Z4PkU
2pVTaBwANnkyQ76xObpSKS5ciT4/szHeBKF91UbKppyUG5IED/ZUPJkSNHFQfzh4MRvNIbhe7NOe
xjTGWoxRADad6BEElacY6g1dJeceihyYrrO0B2QpS3L7m7cmnlDqUB5MgEcK/6J11oxvbtydAqx/
XSNeALJuh647FIEFedg9DkZ9DqLo7JY4CqkWD6Pq3MNNESUJBqk/0ai3izhQ3GlaKWl5SbQEi7m2
JvTh1+3sR+rwjF3jOor6UzhO3oDP0wBHAwfs3JCfw8XXAjZjUzv2kMX6w+w6r8EIwcliCEmGvdK6
/mC2t1E4Y+5KfKJlK6tq7oiztqtAxpeQ4AV7al9LrAezzXfz1N7mTvdW6PKsOMU5Cuqrwcp35twf
sPzs+rrFMld9woE9mxqwMZqORWjc2pFd8dyodp1d4NXLxlPaQ2nSJi7pQfoqSuPWrWCxx+wXMqpM
e6W7glHtz+Gwb8h6gXS6TVzCZ2rwaCz7QVcg4FMGBMB+HSwQrihQa2+5j8dOtrBzazhxdEH5ZWy9
2lSSbKtabp3KhPkjKwQa3KA0DbxBFSfq1TSw19bt5I4zHjynSXYJS8o92ZYmuRjzzCIwgVoltkNT
xBuXwml/kBCpYGtsy5qAMyfEbVp21QHELtpiDXNJY09wgr8DsBwC8IrQaomACaoqEHNyq2v6NtXV
doVKtUsKDYaX5joYWDTaT2lo97Sit4Eq2/W6c9TE6+3R2IE2NP3Wmu5ig7mKCipY9MJKN3PfVV5Z
1ViKw/bBaTrWnBZCZZLRBOoQKp6Tz9EEruwq+r2iB+9ke0ndGpdZNzdGkzJspaOf4jA2suAjno0T
BsEnhTEqOTV9N6z5vZiHK2rIhRVCqS9v9DJ/HHuydtVCaw1Q2j20FBhllfEWAotcqU1BUXRb935r
uGec0gCzZPLdVbgUDgaQ9mFgIEt15yOs3Jdi0h9Yqn3w98fqW6otK18Sq6JCY8KnSFClIPRTpbDI
hkrbVVnjQ4++DFF+IFj1aMjps7fVQ+I6B9xi8Qbm9Zq6tkcmwDXzY32egrHekKVEt+oV61RmAUAX
gtAhC/i1/mVvMiiJYK74RvcRr3INPbt0SuLZ4wIWC4tNksp9oGTbhM44z50HfPKQLoEyXWgeeMMl
+SYN7GGNpMsAhR4EMJKRHWW70Gnor6jh61W4MGuhb4NS/9aBT1vxmPKYdPdx2Ler3oq/TaHgmyvG
exzUuW+xe6L4+01h0CT7TNwxUDlUgydBHZQ3uS3fgASXAcBL9IruYTKhibep7iMkYl9NpmkN35K0
VBB8I4TVsysIbN5fYgM/HJqwO/IR5ZaA74KPZcNFn78edQiqLrdDEBKgZFyO05g23LzeQ8qz+LsN
h8ppLzJneU9+DBev2I+M41E3PBaqeuhGIqV0ubqrWJnQbylNSiP1bgy7o1lE99pkUxqeQG5sEgKN
BhUHllSuqHLQqAhKH5rI4KaGqO1ndpX1d1GUFptmbMPIU8oAHbgm76UkQ7Q3OvyuGbHQQnWUrToT
IJgKJrqizWnK6vUDTVs31SIe2JrMbuKS0OnXEfzvLLLcQf5+FjmVxV8s7Jav+TGEsFknbsMVnJXY
F0L4D2UMccBi5cZNWbOsxXL6hzjg/AYCRVfRzKiAFF9VQj/EAYYQqmEdl2U8pi2VfuB/IA4I989T
CDWTFiQZ7Fn4O79W7z9pY+1MxqM3e+sM+hSOIcN51SJUR7XhKzIc6MSegx7tVWEbnFFuEdjlaVJz
6tB6zKGrqDPV7OT0sQpsEreMZUPEJ2pgrAOlx5mz5gEIkl+wB8twN3W4vJ/GnnI8f1ZDg3qBFDpF
tW+NhgmIKIElb/rEBsgJrCnc2GYDzlMWT2zByB5TZcEdFgx9y6hRDySGKbPLYdUp7Sbo1fuk0E9N
QQaCelY/mNRbup2XSgfOxDKojlWZH4s6uNJG+TjhSoeMUXJpq0DdV/ssDwMSLCzgYiuJvdSmNSeT
NmYUB5cmtS2koCW2U9u9pgehp/lQ0ITTYmmVC3nHtSufcokDj/rv+uLYiZHVO2kSKAmzYx6DICQh
cd2WxbQZLeBqVu8SreQjDI5vln5KdANyYzGvJxP7v6Pqa9XsuU4zFHqjM3xXDHmkz42+sIYbSh5o
36WsSsgZ7QY2yC42axaCWnaVODhY46Z57E16E5N6vGr7tGfNig2HhNAdY9umtnudOosAoCFNCUET
VHsjQpGRRnlO9PK2rkcvsKtjzGInkrjWhoX8w/k7EQUxpgorazT4neDplaVU7LIXGarwYCAgNBVp
mgXltdI7mayarEw3zmTDwxfdiUUYle3Zks6HVqGF4VNfkCVOS5dOtQmqFPuYa+ROEtxu52l1dxj6
IVnVavMUlhPvxNQ8TpN214VybUlsfInE+1Akt2ExXMUmhRl2TMGDNTMIkbpZVTSB75o0iDxVutdY
pey1U4uPMtPanVZRCWwWJbNZ0W0jkdM+lz6wJ3/MyVowQVyUqKo8utx0hjS0VydLaPTkqLcdf0n0
9Kp4VgFi+xQmbIcxu5OpuaebEA5oABsYdcf0pjahmVLVoyPkAc0X7qzuonF8KtDLiW91TzIYHzWj
vTdaFp9hQzlK5F6S1uSxTpzF7N4kpQ4QXcaRsSdl6ZxqoGjYj4uuvwMpmUI51mAjTuE+bI0Q73R9
21vzc+qEL7UJXVKywVu5SVyvkwFipaH2D0Os4ggmNeWXVnRQlPKg2u5rMbOHVMNa9/RSu8MotIkb
456eiK0iyusR7OVKxuJuQc/5TqRSVCkVKnuME4hnxcM4s5Fx9kTmCM6fNr3m4Sx36RTC8m8M8leO
6xVKWkCMzEqUjuI5KZZje0G8ZHJ2jq6KKxyjEYjCubmKmeRyuImbQKckHuAQARD27lk7XdiTfzQZ
e6uyqc+VbT9wP48OTU72w9LkRxq7t0DI7ZUlqoDBk4xeO0+fI2rCinxXAfdYNzzdwUxZtQuhwya1
HnC4EkTnrYMhdpVqCvDoig12PZWmxxC1S0P5akVdse6somCOcE89bUDkqj7STgq/lKQ/mqXM0qTV
kgDsZ0PLJTVUu2kun4uv+kt6MG0BM4bd9VFtqMh0pEJPbm/dGlI39mEHx2deKjU1PTlpkDwmujbZ
+h6BIN0kTXDMs2QfdfVdENWf3VLSScXs1URrp6VU99VS4ymQGFfqUu3pLiWfzVL3SSpnbS8FoAlN
oMVSCWov5aBUx6zMpS50hGqCDXd8dJcq0b4kgjYs9aLYx+l76wQfR7lJ+16FHQHqzZU6fBf6SfXx
Y1zqSu2luLSgTSmiVUku9UoaPUuEO3X4KuVjQ/TeI1T1qBvmR7SUM00pQw+kv73alu8u/U1Isp/D
UuhU0exULRVPRMKFb2bUPmlLAVSd29cDtTKhQOBTwlEBdTScTVqj+KeCdYku81InZS7FUgiU+mqm
jNfmju9HjrrvlxoqjKNybyzNVFXwLbJBajR0VuVji2VkqbHSlkIr4gEPYqm4spayqwXtwFD575T0
+xaF2eXvp6Tn/g1NjlUK+/X99////343RC3zzo8pSdd+U3EdWhgGnSU1/mtuGSUQqxMp/f8Y239I
NcxPwmW5yNzCb/nFfwimjA0iuM3/eJ6cfzQlqYsW88tuA7kZ7zw8P7Y5lsbQ9UuaJ+u4SMpSqpcu
ocPFLcikEkw56krP1OJo1Q10+nKHh8WlYyeAnlLGmtfRK9aUGHDHQiLC4s+/ahquCYaTLm4Ri1OD
j4ojq1MDtbwaVINo57s2YKnRc3pRoF1hpRj3buBseMqqfhWH274NshWlLDkfZONhLJqdEUfFPbo4
1/mqerdG51j21UOjGRW2FMFyJKzfs2lpBG7pJCTLupM4zSmIKqPihlAN9BrDuFaEdQys0V13o8pg
MCqBr2gNfYxZfT0F3avdh+9BThePPhXqOpyqeu9AICQPotx2uG+A+zcaHVeRu8oEE0yAM8IPUFc8
oLlYhwJiyZKQTuOK721s3URmfXY6NqHYDr/FurjvSrfylUT/qFJTrpm3Hhq42XHd7nsLLTyftV1Q
u99VGgvhH/FMduVNoSanFut8XoTHZHbvAX3ZYK07+mR19b6yEx4G/BA6CsE8ooDkizrzdQIsg4rS
fnNIHS8kD6QTqiRGQ71e8jr00cY3sTvwrMlHZzxMk0qDRFF9qk1F4KY4O3N8HKYy3Iuk5bB1MUOa
jKKEFagwsCimpuYSjg7m1BksW60o7GkLVyd35HZZS2FuiUknLlrn4urVtKWXQV8NFgy1giRO2DYf
OqPtimRreKP0KQ/L2ORBOSBNTPpnVpoTxV1WqfpRorvnLGpIHxZLPUVqhn5n5ummyIrqQPPxJcJj
7qmZcxmVkvZNy0XInsrPPDUEXoqla0A/U/IDvk7M7IJiNgNQQwogj8o2kQNLA61/saroEeR67zVk
gHCH0WZNSGjVhry4WZEsDUvzox1PlCGXbwzR255YxsEolBvNqT4NII49dJO+lo5XsE/yVOS/vQWW
qLLyg+zMtREKiqHSiyF66bmZS3FFmTypY/BgQqDbEV0CBanYZP5Dk7+2TvEvGzDF6am+rjnWe1W9
zafuoMKKr9PkNo7DNY2gz6PavJluU3paiqY0tcPZaWhhaiwWR6VanEz4dUj5yoEz0thaKisYSpJS
v0AVVWvtne0MPaHd9FQJvYcPX22qlrm27EgDT3LYp8EMdKZQz2M2vkW81kRoq8ArLMjapV59E0V1
cst2bTnUg0SiZd0TvHfquLGbmsahDIYUF5DSS5MeWFxaI2JkqVdM5vduNOGI6YSznOSqDhod1H+e
egi72yRqX5yE6GtePGjp/KgpLdh6HDQzWoE7uoiloLr4C/vhPIxMVOnJqcmV9LN627riZercCu9A
RJxFKvKAr1jZlzm6TjHEV0Na3xn4B6IqvXWsgnLp3IA/YwjqCwOb7wKczdzltJg2AWpWIpRsn+eM
JypXPPwclldr7bxSSjvFnMibeMKV53ErvCRlSz3hWGZ+EGXpSobyhjA5KClTfSfF9x826r9qxHIw
/v05e2lewXv++aRdvurHSYsewfjEaysgtPzO+vixFMHHoBnY3kwAHRBffzYrCKifLOUckyOYc/Vn
tqcgN2uRcyWLK2CGkkn7B3oEj4L/Omk55QXfH3Mzw5/QnP9e8VraFI+2GpDW0UB8zFnqehoF7UdF
1uqxsNulKE6d+hcjiQ5o5M9OiE7Mo/5dDPC/6FEfaYiNKEZZ10JNsL2zdpUJxXseCkb5CFsQ8VBz
1ZZWXCjzKyWJLdTiSjSvSL7xRwcmgNa+woT61w7QrKgBKCg32UQIHkjQGQw3L2sMSu6bxLUOXG7d
lQtns/0ibqZxRc41WUCcsmk+FQdmn7lAOs04oHUDbmfgaNwRlyukIhJ3ky14T6LtaCkQPzNqKioI
oPSUnOZ5vNHETG+qC5xNuTIosNMgh0pQ6J5pNXzoNbCiZTv0vt4a0VVlWFu1Uq6TgfKcKnCOUFIS
z1oApSEY9quiLcFbKmO6nqyEy3mlwBep+4vs2ouSSgfNHDzHRPXDjAt5HSHncJpbnYKiIKbmMxXd
XZypd8Azc5MQaldcK3U6n4TBda2uNmFlRd9o4fNsqkyhuOSnwchCdjjRp8154ekV5l29dFZoH747
ifxOscxxUzlUItj1rPtNk2+5FwJEpUlaoiCwArctX9eK6DLQFQr8DKOmQPPopFLeWiPPPGtcBKdm
Jdy+ABynUTyknLRZbFiqEW/qK+OhdeFoRiwimilzNmpG0CgjBAL5FMNtZVcsfRe6g6bQTwCBAw5D
O9GB9dNH8S8MMr/6cL7IS6DiTIvsOcg1gGS/jpCQxkY1ddvkrKtRtRHZqL/CJqPydUohy379Wf8+
/xYU+N8//66z1/eP5i+ef3zVj+ffQkgCYg81h8WrQDn4Q4/lEgKyHeqxhYsRvB9PzT9uGhDCyMGq
OolL8AB81Q89dpFqNaJ5cI2+mEvuP3n+Yez7r+cftxncWpi1sFPqJk/AX98mwzQORmfY46WTA3UQ
HbDdYbq1y4H2cje85FqdvPMRK1bxJO65oCfeIJTgzrHHT8qcN/TOGVyvFUCppOXVInNWuU3RDLjS
tyZMNU9mDKJQ+24N3LNb1S2D7TgEJydHG4kq+60X8Z01zE8RcHE6XRAF9MrwJLRNtp/VQVRtzndc
1Aa32MyZfsef5Y8dVmM8MRGCxgSe1CG8wcb6xOz2YFgaW+00/J60zsmgxkI15CUK211pI/kO+O71
SFU30KLQ84zhWup0HCGpWysAChiumInQbFYztGBR9zzQDQiPI5svDXDNxu2YsFIM4uue9fZapAE3
s4wBT+Q8NCvjvnE78qSu3wux7pGzVjWpRy/Opz1jh+F1BegRNKdH0/2el8BLdHlq2/zAMvsbYNjY
qxIYAIaIMUpP3LysAdeHKacPiiL3g2ZvbKEAClCjx1DjIe86CgVStKrQBEL9+7xLdPsCSwCbVOiF
ZfNYKuZb38M+LFNCXbNviWXrpe0hhd7oE+1joWndOrxCAUEHJqlmM2bZuTHcWytW31I5A/1VXW2F
SWppcRsfct14TuhM4Nk6ejQNYT/ptXblSvuoJc69klHNY83qYzwkGRfR5DiL4KGSzZnSsWPYYCho
s+zDUKIXOSj3Ff4BGcnbzrU2qqV865XkHfHTXJlkQbymCtnTLZEJva0/7Wm6U3uctGTwTvyYrsbE
9jkT/cD41CrIDzr/nLGfN5WNnU034ruSYkArWTaJoU19qE3+pihfBIAIAfKV0Ve+Gj19pbzJ8Y+H
hLmHrrzShux7wDvSbVjk4Tbbapl16K1pV1rdd3qvKR2OxL1Jmjjk0c+6okahHzskzkH6tuvCOmL7
5itR76wm4SxiffqYdLxIc6FQ4hvhhzRy/bazqjXeI6q5cyJvbcclilBheNb78lG2z9xYBJ+557yj
tXhJcUchJ8rcGSiQU3QzjY27D+CVkqFuJUZ09rNqPxpeX2sJwnnEKk+pPqke7NwrCsw70tBRkEzr
Lqfm+WHA3JSuTEjLrbsKcRHdFYGgO4+Om8fYSMq1ofV3qmsCRZoM6GAGFvyRPkEHq4JduFtE+ZYL
u+P43dhkB1pi7MUQuJQ4iedyMBN8g3zcsoi3dDF21iqSDXwwU+Csom/eceWdA9ZnVdJpJqP5+3L2
xnXo+MBTN+rY+yRzGAugiK8LsN4+AjMNMPZZGogWEJ5moh6xWUBbo70Zs/XG6rp9DDe7odEpk+V1
Fvcb2pM7j4gFbXotg9fQHYyoAG4K0C01SCROQoMtDL06aa5l3T+4qbtrhMH0EoxvrWU8lqX4lqs2
nrCg9pJMID/U84zFgZou1IVVOcNYQhY6j8HgrvBjAlyLsit1nLf8Xx01fCGBd+YzRUAYbmpl3Yj0
c5rrhyqxH6s6PjHYvdEzC8k0t2mGdQ9WX6qYziJB4GXEWNeFiqcG2psqk1tHL6744bE9Tkgtd6n9
kA/DyCdEdJ45OtGaGiGfvInhg2bA2p1iu+z4ME189Ox5oXTrkEMGoEhRd8umZ9/r2oHgz5Gc/FVq
Zg3rB5u2zNHCCzjk7krEORF/mxS8kdMjHKTdh0IsdlO6dbLpehcOWIUbNHCV9ZD1006nhIoU0Ksy
5VdROj8oE83Mmpzohq+Tu2mRgRr0oGoRhqiZTX0brWgsVUw7jYqPgktm7FhHFiHvMWBRL8TZei/R
nJRCf7B1rAsBbDf6HoPNhFThOyhVKooVLt4AmHi/qxJOh6pDvxjhROUZ7zX63hjbMjVUmkOjLqw7
BrJizXWk3bRB17ovet529unfiehLedWYM/9+Irp6Tf/iPrh8zf/OQ/pvYBiRNsE/4odb5o0f90Fd
AJM0aC9ha4yJbolV/DEPmUv5iK1DjGSG0vmGf8xDlgVay8Z5ZwlgaP9sHhJ/nocsfEdIvyqqMWvU
5dd/2k8DSNIEkArzkg5ZeAR1UAd3UqZFTe4tTrcj4xzVZ5yutWNic86yPTyF0TN7xdylAQmifNLz
0zjy0McE5KjYIdiIGewtVoIOdgc3DQgh1iVpWBwUjrqTzQlCXlvdWHlorsIuxZDmfJjJAASWNlwf
+MIM/QfEfyHHY1JkG8Whi4ugeX/bDe1eH6T1kknQ2G0SueuRzvNMLbHlVttRD29r7Ey+CngSG0sy
EOlodt2Msa11P+ygv4mFc5lrZ8+K6i7GzKGU7TcldKpjEZTHOnL3uELiveaO3zK4Y44SEVk1H8LY
kSs40tHKSEV1p7XhM9Uxe067daIGz8LNXvto8QUP2JTTbhi3bYT2yroOarDgZG8QTu3SPdaC1Vra
6NCSsnNNmQV98CEgfuO1ibpLNxefHS80SmbpzeUI3SGoDrmd2ug93c50HXbYzCXkHhAwC0iIS5y2
otlQ2NNhDpRvTrMclQYNwl2y70P2XbXdzmt3ijAdFHJFs6/lJWjp+lg/sz/cpiWNdaYAJU4H5IzE
Hb23+YAiW2mmz6ZxaykQ8jHBbXNHP1OBpjONZhF8/uaxCiJjLZpPhgV1Z6WWC9ewpgcctRcKwqci
WZDiSL7US5RmjuFvDXZ97zSOcqW42S41m5uMQdUdmmFlIAUkXWV75jKXSDWcXtjWH5zQ+G6brWC9
miBUlPOzgUxshgbld/NN7Sj3Q6M9j5S5rZqOa3BukDMYcYhX3ARz0tBpK91VY2gtTILxQzpuSbeo
GXpEKzeJ3r/DUSHqaIqNPaQ042r8etJUCBSx1b7hu9SvpGkCX8oXDlPnaGbmjwudiX+/taNEHmRT
YMZItwOmRGj1jk1hHpxhflI6g8Oa7SlVkssrPrPzg0vY+QAecfaB8Z0QlWmjxB0W7aZBvcx8GG4m
J7FBbDvjTWUwOclRPwiRCM/AIyVqvmaOK+WShPgjbKmWJHk5Ehsy2Cmb1QmslIjlPrcVZsq6jA+O
I+etPZjjuqQxeDVFI9Q9wh1jl787dODWQ1iueEidRE8BHePcDWS10G+z5FxbeDh07Wl0zOmu0QDC
g4XBeFDn7bUgbqoFTbV2KMZALxfpGtw1djsqrTFscJprfGadhZqZ667CDKXOrAH74cwucS3D0l2B
zDmlOkFnt9BXfd2w8s/o3NDj9q3pla0m8IoMotkXFmhFw3QOCsLZAbuH45fUbKx0p2hedAgVK7Nw
RkrxBmtlxEgdxKgzP0abp6syy725m9X3WtO/JXlOXIRym/WI/2xbzGhIaZqZ2zJno9EqiQr9oS7Z
EC8/38DKEX0Dkp3RNhvHMzNE4o2YT8Hh3EQj/2pVMTdaWB61iQqXPOjWpUv7NNh6gpqu48nFiCoo
7RQduKGqxZibRNMmL3KWMzEc9GV3WzrmkUwt8dZK3cZm+qwOzbZX2rs5ZW7JMq45EWvkAp257RsQ
dT0TWGxjWK6qHQj/T7a2i5BW9n6l0LuhpQxvJ0fm93mbZFduNFwXvKKr0ojddV7isQsZrU08l5NV
bEajguzrfMhS11ZZmR+I4Mh1qFEwYxl3/04IXxPCcqT//YRwGw8f1Ix+/4sxYfnCH2OCZvxmEGLD
Fa6ypV2imj+mhAUdA9kLvNcXkGIRVH5MCcZvOEdspGHgYsai6v4xJYjfCPKQ+0IqXOgwHPv/QDX+
SoX8vJ6F8WghWjNs4PUX5EZ+HRIivRjMgRTTqSnrurKvlEyZeKwBhm5z1ac0Nb1ARRQpBcoBSgVV
mPNGw0lkM8/DunLA0l76slbwdkplb5qFOPUwff1Rb4tjHrj5HVfz8dJLo7paGB7vXdiNB5a06Z2h
jc3RKDFJe50Ew6DHxq4kirOhE2TpEYBm+IK+obrcdxiwm7HC3JRheNbwFGeF+TagU34qIp5v9daK
e88Fs4X9U4N84OD2r6zah2Khc+NP6FOPoFDleR/c62Cdb3s+U9GdmpikV7CyaPW8nyuM6KsGHZ/U
lgZFRucP7FUaj1lhGRrtOrBcy+mVWXC4aXD4jypWGt3w0WsG9WxZ8GByM66TBwXzLxesIbVtqFRW
3RCwF1g+zGGqX7CEiL0x5N16Rhhj1dkhJ08Hp6tobli0c54TrnkcFlmd6hoU9nwR24n7orsr9aLB
T3EhxHbSqCuZIrB1fjkbt7PWDvZOX6T8Ek2/g4xwqCiamE9mUnd7p3bi4ZY+BG0zNWYBGSLijTme
cpecgvK7YvuvirpQ+f/+iXD3+t685rg1/sLZunzlj0fC4tlYUO7/ewv445nALznA/oh9/+d+8Mcz
AblUWIZKVRz/0c1lnv/j5kCyj50UBEPOn3/4TMAp+2cl1cEagvVWNVhLfYX4fro5iGQouMjLERqC
gzG8j1HdhyhZV0zduS27Dbi5FiiyaQzPY5IfKyYx1sCOzXU/jr0A6JEfFI52G4bWWnH4LORTYXuW
GitHtZtfzUCfKf7qPkarbtc25c7gNoM73OfWib6ciGFb1JtKEqjD8rJO8OB3oOVG4CibGHd+3ukH
bK+fqZweR9z7tpEyieKw1/SdG6OwugkR8nix/CdkQ1fzEgOQqtGyzEGEROL+SGwsIJbykg7Kx7iE
COwAY4gcJwmaKv9eL1yKVFXOHZ9/HwAf3qp0xBTmWm/TElFYvC5etgR3hiXA0E/lY7QkGkg2WCWe
Avsr7LDEHuBS9eEpjPdWJW7r1joBrf2YUbum4trS6JYHvXcuUA1nmTzlNYg6lt1RYd4PS9hCTT6n
0KhoI9JvnGYi+cg+ej2Q0CiVjrrHntBGn0XZRna4hGsXsHVDtiPHMOZ3+Fx27RL8EJgdkLQJg8yl
MXv5EhBpAzzGMKlb3yA9kkYGZQGK2IINTG5NLdN5dmZMzBMqoRabg2+Wijg1SygFfvrgpXh3DrPS
3JatBOCzhFj6Jc1Cr6rfCMZgA2LArg/wBTwWoWKHJ72d8yccmiz9MnZevHzD7ElhjatBxmDiTeez
pTdaRuBPuoaC9i8xo/sSNhpzjr9jgLQVFvOZu4sNLdiYraVdbDXGkzJjCQ7x12wqYyxP+azHDw78
mKaLJW4g9yWNAf+aRDUvo5HovlL13AMm594txr3ITYisQU/ltJbtGk17UHrY1706irUM5gKzEaRH
9vn1ym7pJW0LglOwhVZ02pxkNAEi6mLbQzfknlNn8rqYUNadfqzuCVi8tVwnjzbjMPXo0UelEXmd
Dab52NVIP5Ug3FXSLLliamhWXb9raOrb6Y2V3dVWnV2G0i7uUx14SqXFEWm06r50Or/rLATbnsMj
jM2dtLhZ9YECE130JdmX6YJYGniKaKSX4xJemzE0mc7SnM3E/HvoJvVVBpVXR+MjuZzKEwWpWoDl
wJ8Ml8oBaSh7RXHHFy44YKjmOvBjpyu2OKfT95Q94i7rR65+tXNIx0juhplFQtMRQPObGf+ohX/k
ZhRacBWFwjk5w3RuOalWLvOFZ5cxn0zuohupOtLvdNrfFGdmUtcwlmBimtf/TqhfE6rJvPb359F9
X9J8UvzFgLp83Y/TiDAFJDONMCeC1YIM+ek0UslZsL+ziVMAsl0kph8TqsNU+6UtAejnt/ysY/0Z
jfsPJlSC4b+cRs6SE1dVXIoajHGOtiVW+rOOpQ1mkytlnl9mMzoITVsEBW7PWKJnTFTAbyzaLYLs
BJQg3ZgC4k6vbeOqu0S9Aj4rQe7Xbwqq1HuhHca2ek174zloM4/b+knO2lVIo9ocWVwZlXLyIrAK
7ZTdDEGQrq08p5nNsjzcWPUKt3PlzdpILGGifT1LKVhx8q54KkV07PvSuSpEfu1E3NTcEsvYbCte
46ZvFtdJLLjY+KB8NehnlZt8GzVutWVhXRwTR5DeU4iXkgm89Fb5ncJw1isyQvOPbAuXcartzcm5
6jp7LwJIq5P8mIz5RCruLQva+3GitjNhK1la/dEyF6/VYF1w7R+yDhuBG5kPtJL5c9m9jJG1aRdZ
hms/zQiuc224zZESiksypudkTDaVogWkI8bYS2z8eFqjPLlcuVkRVL5qJldRM+Nnquj0ctNuX5js
7PKUeEJkuflGSdwXaefXXCquDGi/56q+UUuxydN4Pdk8rk130wt5CwR9RTdDvBKN9io0br6Z8m0w
gqf/Ye/MduPG0mz9KoW+Z4LjJgmcPkAHYw5JEZqHG0KyZM7zzKc/35bTmbLTdnU2+uJcZBUKsCtT
ilCI5N57/Wt9ix3QWnRdR6QFQpeRZi+kbG5LBVNyNuM61Mb4YmLnD0q1u6SqcFw2icjuKnNHf6rT
ItOgehiV3V8EKjndgTKIzMLpMHX9dUg7An9mEyGadNlW+V3H2/AZhHhJpDCsHIqNFeFIrB3NK9Tp
UPX8HuKYOWWsOlTZTuT4J+gakVMchsF/NasSSoYQN2YhrhQiQh4L6pnLOJTQmx0iRQGgj+rwSrH8
HUdz88wqWpJ0VXzj+DkqDXXgfnaZhclrnNd3gUu6Dsl4gECfiG3pawNROd+hMWIMPFvX14Ypp0u2
DyAwStYlZaKzK4OzyUY1+22i4+XPu3Fiyti94VQql6bAH67a5UNBJYyrlakkhtGmkSLgvRNj85Fx
ntHAM1dQ9hYzNOAFuNPyfJ7q22pOrvyyc0g/xEyGI0WjhYJJWdbl5Hjq4qBi4D/TcE52TvMQCfvM
Mq2rvC/g6Ucupe3aPG+yHOdJTgHO2p1yrkxDfyrz6trp+cVbqMKTNQM+8ZlUKqidvUWI17nqsKwM
Ro6t0vd3NqLZwuKiX1D5syb0ACGMyhhSU0kDOgKZL65IzCrz9BwYM1mCBu0t5RNdtIxK2l5ZQvxc
ERokI5Bm0ZGo1oZQZ7aakivmmIzDiQQG8zOevue2FzfB2N8kKVuA0TlhHUy8ISBYPehkO41IuZsc
JV+0qb2SA6Rw6sWeUd+AAItJv7PIqOYK3Ho/m/bIfKuiLE0IQ8RWdFIP+ticp6pyPqpkIojV5itk
3+diJvBQtjiSRDbx64rKBXQizth1gYugGq6hMRdMuwkJwM1wPVrNeT8ylDF0XIH8/591GdiYrBSR
WoY4nFS5qjr1rZHxDlNk0b4g8VGS/GhkBEQnC8LA62iTDWlippeg/sxVLoMjQsOwJaMkPpkSxqX8
tmXMhPamHOAFV1NHBsWUYZRCxlLQz1FIZVQlJbPiQ4PcUkH8XImIeikejSb5loqdvReSeJnb8NjI
4SNnaLJApGI4PgyLwCxOFXmZWOZmZp6V5Gi0gEBN8R6tKeznICg5zIZ7XYZvhohUi6V2t+DzNI8z
smxaIu1Uy9hO0viPPTmemjxPKIM9QaowTCPqQ4CdoirSP6WMAdXkgTpDKZaOrGwYZFiIEp8XWQ6J
88krSBPxoNsEFYkknZwR2d+7hNxRXRF7TpPu3pSRJE2nKRbXTEhZKYGl6D26hIWOrRRxJsLbu7qJ
r3NhbGYZePITFO1kxKNMJMp6z0bJlJRRCiiH+l0vLocGsf9hiA5maFzm5Kmo8riLlew2ImclZOAK
qiGWBSJYpQxjqbF402Q8SyOn1UeCW1tGtxQZ4rJlnCuVwa7IBF/iEmgr06ve1be2jIARcFrNk3ZN
ev0QypAY+eF7u2XGo1btvmovkBoWrQUCM7DhcsmUWSrzZjpOBc+qo3t4wRt0TNoHZTqNs8C5K/Nq
PQPNNRTKGJOdgV1a5tosAm4DQTfmHIrXMAZHMi4Ct+IAY+hbqnzfHKhf50PeLsySiivLvo8x127Y
wAOmbKt5utBCNfLCht+zPVGkEDgtfZa+V/D82vvt7B41oy6O6qzMW79pzR2Ivou0Dh3nuTOnaTOP
YDFDDHMrFo947UIfyiztXC+tHU+jvaDMljpDnVkDc1elNjEP2CVPiJ56CrNRtsQ6L0yzCba0TL4Z
k/rGKfeFJYcCNLa/k6osM8de6onKj857bAytWCZj+oluWYA6QbjRVaSo1qckJw/EQzhmQMU1GmWH
imm31oBr1ZnH9zTFAmQ7BHzY5Uur7jXTv6IHeasog04C3j4a5eh7UZdpXpKqt3z8rOJa+laO8b7H
MLwugRbUjdjETtMsLcPO1/kIHX1iLM0pEt1fq4aHvMXEMKbXljktRWrdQmo9TVXcLsSc7AZTrOso
PfXcJ4sGrITWliA5zU88XE+tO+Qex0lAk6K6guBK6XZJ049JaNzVmov3GlmbyEEuOJ9yED/adL9T
5RwSpsfsuapHPBQ891MkxRmHiYBINHLmLwUn0KjQn2cOWUzuh40dYbUEIXTBJveBOdvZaKc2o3Vl
pXHmwyZAeiFe94N+VVf9gTt3a+uMGaohvC3npvRonz9nhnjjJNoZ05mDnxb3Vqk9DH4iA4z2fYNl
qYC+AXDDpbNLwebhWsFdNoHN0XBoz9G+NuvzMQjW5aDTrBA5CPwla7QibulnO5+pPkCUeElNa0/A
MOXXPp3hROm2Uz21q3wU55mGh1RkPAiVcKNakVjSCLpNCp16+/nQ1YZBMelc4zQS9/GQZSfDV2cI
vI6yUIZaX9JJNqMxuKUHIslYWFk+MXHASA6Ra9tg6lnWavxiD+xhnLE72WVjbNyabj98q81ZVtWE
8WjyTWPSvwUZgyT1lY2bDTF7Tr/l5rJSAPc3WFX3IrKzDU7fHRMsSjrT0ojFYkbyiP4xWX4JZsn0
08+PY//F3fWjw5j8qg+HMWYF+CiZIWLV++4wJiU5/mMCdGde+fEwxpzfMNQPFSZ/SoMY/lDzwES6
Ekav/Z1xAefBbw5jEr1D26vLG2Qeyuzw+3KmoLaHGKxrelS06jGIWjw7JJu1ydqlWka8iNxzU3cr
INbMIkl0GsGZO8HFcrD4+ZL/kEVEOMide7WMUgeWuuZ4cD3IkLVD3NLrg+lMbf2lUAoKK7X2jjqN
0kvJZ5N7Sr1eqbdp0jxnQvaJaeYrYwOWQiXDJGiNh5G8dyKD3yRUpqWKc1FMvbXQZDwcx126rDNL
0nSppbBljBwhRnitjJbnZMx1GNxLndR5J+PnU9A+GDKQ3pBML1SxJzNHjpgZ6CLoia/TkYwFbmZv
S7J9drV7OogDHJzMgsNQGfD2EISPZSR+luH4TMbkbR+STbueZHy+oocPRjddKWFw3tr5oSRpD5Me
M5YM32e6fjVEyRKTe7ZKyOf7mn7jT2m7xqCULXB+9ItWxvlLuTvm5LzNjAnx1SnvHRn+F1QkdwGi
VxUF160el09qNdxNs4kOBHqjNEiJppxl5d75CV7BLsqTTVYOjFo7i8ExXevg7WCmUWR0Hgb6nVGh
+XbRcFSEKVbkmualbs3BaqbQggS2Kx0X3ZWhhK/sQgvA3rRIdUlyKMRzOz6X7rQ2S/HcTEax6WoK
5romIPQ+ZMUdeYX8mklSmbxFwfw6jOD9DLVd2V0Jijt5X8Rpd7rwub53bJzV7djqxVGvffdoZlSk
TGhdptvJDazYtrXcwrzvFpCyLox45ikXyd1EyraCSjqqDdhrGGw6qrmnt+t9I1K/b0r+kZ2+yE5o
ND9/zj0W6Q8GIFLX+fqUY8qBrMOkQiNrSg71o+SkM9/UVSYPtlDfQzEfJCcY+VA9LHI0mizE/TgA
MTAzCQd5CL6HnI38DclJd2Qo9eNUlG+gCvQtyffHLuQyu/koObX1gDlJj8dj2frKokRvpeDoptWZ
0MdSip3p0byJei096m2WXTdSslVUrdt2s69x1Y8ggaSyW5nGhQG/jOxLNkIvjN8MZoVeKyXhEG3Y
lSJxIeXiRArH9NWXHvk023M7vwBt0J/XKkJzi+LcR2FxpHKM3Z6Uo7UAXEDHgHgV4FVd0kh0S84z
3aap0VFTSqMpOHUDhTuokLpHKXoLKX+nUgjHMfik4Dbcumjk8KGj20rK5qEU0NlJdx4HuxF4VKof
I42BLIdVd1sVhXUMBtzlbYbmMJTMHUF5kDjJpQod2A9FA9/CLHFL51121lXTJnGVxwHTPoo041mq
Xz0rJAramTDwA3WlB/0+qZUDyDFc1tp5AWtkobZQMdGxaNpNwierN5+hBowLUsL3WJDumV2mK6BL
5M+D6Lo1SccZqSIWRq4xYQqYZMwARRWRvVFHlOJYEXtR43vHgMUG1YpxeyoW3cY+09vcmqEppLHn
ivK6UPwLM51eCKluDdmWbJbGqz81J6WBkZE4jvQhMXupBufCmF0iRP58YRX8SttyXEJxPyWZ8aIb
9f08JJ8Uv0QwCekcTcejGJjk2OgDIE2gdbGT39G+aHk0wDVLqpqPzPtbT8/MrWjEWTFmzqqwDTgD
WvhYBvMlyYtDXIFLV8aZBvo8gamEJOQJ+p+dI4eR2Hhh4GhNO7ulAxjQ1EF5t9rVWk1zrFU3i9C2
3hSMKiCSzIWmTGuKtBA0pWtP7dN9L318tnT06Vj7AE7DGqMzidYlDTCo5USbyUpAgIC1a5SZDTdl
FV7v1DnmpeRTpSNx0JA0QfWihIuR/pqwMe2ICab7HIrsTpmaigWaFMXADe6pXKlGUF6leT5yZZs7
3FsoOUmm3uShDzXONLdagakNsRScrCsyNqsDcxMqo4zJf5smCl0ZLO4Sy7qpW/9Jz3NW9IR2Rtu9
QHVJOcRYAjhbpy7sVOwUpzaPnG2LBQzU1mOUItZjbV73CTFSv7XOoHSUnptPrqcq1r5Ou2ivTdgG
zVTbYbbit9SSXTMeGs0/KkOwHmboDia52baqo8RDIN00U8LOYAqXTpW+hKm1doqSW53bpCztkQ82
eyrDZg8Zp9wlCiyUNNK0YziUxtKnWv4KHSPYo7cwyXH8i76CpUFKbqVT1UtcuOc6h0QKfGu8ZPKP
f7Aqk301zWTCdN3fcmbnTNAU5mYKfHepKsS/yyo/BKFq00LTGftGBPO+ijVlYxaVuiqq8lIobr2e
k2mvqMEDmyjjpMccrXj6JTuF2L0XJuVewQsejIG/EnH5WGFq/Nzk2dINuY0v7Th+m+OZk17uGm39
zznh93PCL41F/5U9vxY1q+V32Af1g6tIhrEYyjCbZ7V0wGB9GNpIdwHTnPdZzvtg5s+ZjY1NBDwn
WG2gD7Lj/s9jgq5RA86Kq+IEkk2Hf2MB5Zzy1wVUc1VbWplNG+awXGA/OAiKEknamvzmqKbGDUzm
a72xDpnZXCYjeiVBrXAfqHiGNHMLXw5mZJL4a79Hp2/HzkeAgs5pT4QnAGxeqcATkW5QpwcT7aCZ
tctWhVNounyvnK4Q5L+SFryAOvQyTK9rm+fYnJOW1IrxXKnUgs70mAP03CueQoHK0m5twJq9rvBI
H6oLNc9u4G9hYO7n/CzWdbkA6RVpEraoempvzAa+o9MXA+ZleH9znd+EudQBFXDVat3sqtKCQNwG
qybRQHCZ2dtcAftUmZ+kurUtDOUaloPGrKEhnDrDPLBQj1yQjpXVTR5NVau83sXamRYYr334XBte
6wZbFsRgOUgHUjV3UvhKMAKmY7LU0TdW5RQ/04NFRVZbv3bYqtBpBhJV/EA1bXpN7ZwmMNgYDVbK
fNa12n40nScrFrtCjU1a6SwcXjZojaA+RRBVGayR8UFQO0IbSMl2dSt6yviVGFSHtUHQ7GxZQk86
9UoPBvPSVcJPo55fNrnTIa4YJOO1UFvrVUHdut3Tqyg4CpZ+0a7SRKabEmIgteqcUR6wmzqQxBam
Kuq2r8YEHU2dO43kcWZ7ToPRgWkSrCoVdlZQtf110KqGR2HJfaAwk2GAvKnUGDqffYMQ+6wpQb7J
pmTRcmyA64clSqIW8FAhLJnldlB73RNtxfyQn2Wuq41rULOU+Fqunkqzza8ht/LCrJQl+IfZrD9F
7DhwpCsnLvBnt4ggY8QY3cNEe0BuOq9DkriKY8bLaDDexqF764l1rZt2xJjdOD4aq/WCsRqPGG+F
+RJgJtxz1xYh2UPmqCy58WM5u4e5woxhUXhDhfhZRUnholEx27cBzJ4i8XEAN81FG8/cPv1NGPgv
VWg729xgT4QufA0wjIGS3t1Xhr2j2zLYOlaxjyb6f4pJZGunyXcisEAiquGefhfaDuL5mu85nFVY
/7zRLYpVG4CXyKMZMGadJ2sNhsfaGA1GEcIXuIHN+6aIa6+fmcs1TZ7vGx3ixKgwoggnoA1pkzKq
HKk6C1RfSqRhfYqxACwG/Cgjlry102V3YCFiUgHheuwx+TZ6QejGKPOVn8bdqoEQyd3ekuuhqh04
lwiJFHY7dQZFVDkUnGh+uhG8l0UljAljM3epg1+5idt5UVTw3NtqGyuCBh72o3GMp7dMGVjNltl6
CjBK4tmhDRweUrepYYjmD4ppnWLc1wTBbxksHqy62xcGjHGzvu7tHgxmk21ChZ7QPPNnNqTaRT92
t5FE06RTeMrM7jIJsFAkZB+z+aHxiQUkRO8WWRHfiR6b0qhup6ah90gqk12ugugoDPR/gJZNtbLV
ulhnk9PA6h7P/dq4TPIpXY2DtrL1cq93JLOnpvtsWv5TFGhH7JIXSl+eqthG4+ibF9+3QFQk80Ma
cjoH5AT+Nc6emgwSoD+x7Wx1ThiheRiVsiDaxFXTvntyDGnPid55tC6lZKuwGPeuFRXLf47A70dg
gyXt50dgSdpew5T4FDWffnAWll/8x1lY/013NJASqmXjwpCy3leDMDEijTA1+1ucwF/W669Luf2b
q8PfZjn/46u+LuXYL0gdSUb2/wBz+VcroGOb7CX4L9/UlB7ljwu5laqqE/v1fJzb+wpMvnQcffhg
fpDul9/hz7P27/YOB3C9qaMrYjj89hUwC4lyJOhybEaWY5WxWLRorNe+3/76db79Sf76OtJm8nFL
grrPVt3SjpYslqnPBvv11y8gLS+//EnQJz6+QqBVlJWTFTrqo73ozVvb/VzgdnIVLNT9ik2U1/SP
JSJBdGrR/7ToLQ7XQXDSi0sWoGAoGXTh3ghWeAOYiV528fWQhcuR0/av36km9YtffeZS5f3wWTDE
9gm7ys/CgBeFVbm87wDbFpp5HEjf4nwhJP/ZhggHWJuh++/M25/WQLxnz75/AxplFAL/NhDX9/3j
hzdAoERre9WejhMnTxQTCu/PEnTxlnQSpgrPpdK+28UOWNARvHU3XGlkOUlhF1T/qMrsEYuBwlxi
z2alVPeD23b1Js0e9MzYD77Ks1BXYu12ZJXfGIkb46HAHJLH8aoW9a7ssLj1FYOtadm30yacj72I
VlmA9oqXHQ7kpmaemuknf44BpPJgZz/U3DSBc260KcRCsexhT+hsEQzL8uw5XUxxuUysG/iXFdl0
NonYvqNJ8zqtg6knx5/bqXpo6J+YFIMhVX7QWvOSfuZ4zDZ9rhe3GZUNpTEbpE1uWlMsTQKvcY/O
bUWBuSQAQ/LIycxVkaSPkEVQlKFwuJbfLJPAPPv1JWL8YAf/8cY3v7tdmIixsI7NfFQ3xtbfzWft
vbFxdvWxWWhn7bby6hXYSW9aG96+3tPKvBwflR1JmI26gb6/jr/EUH9+yfybSxbJ8OMla6YQ3TN5
yRbJrmA9Hpbs1UAcqv/mcSQv/e+vTPZXfzyOvnvgMYae0xCPzBG7Q3ozvlYBw1aPbJzwvV9/xNq3
H/GXJ9LHm+A7Y5vL+6oNN9KPIa2ep2TEb+JRzzs0KwJxwRGB6tcv+KMnIAAjAzIdlWPWexbkw02X
iWy07dTQ6fuhB2d+YW/76xf40QPw4wt899kxCbXzPtD1Y9MvOytZDMz6x39bIfODX9DHF/nuKeuO
rpgnplRHt2fvvG/FjS6efv1z/GhJ+vgS3z0eJ9ZqeDqWfmQax5R8WKjiyo0v3HD88hv5385JnEef
6qIpPrf/R37nT0U51XDn2//77V+bL38P3orlc/v8zV9W70rCZfdWT1dvTZfypV9uPPlv/nf/4e96
xM1Uvv3nfzy/ZlFOb2xbR59alpe/aBX8Wn6+PVql/1oWNSrHj7/w69YIZ6osn6NqxHQEaEtukD+2
RvTcmYwJSDHLTZOUMr5ujdzfVGGbwIJ00DLvAakPKocFwYZ1h3MrsWx2M18/iNOXZwCf4U+fSIgt
31yKchjK9wEdQQ0J9lm+77fPpCrwR0vRelQOOlwHecwht7BUGMSS/W3qkzLLw1AmigfLhKPoSqtk
a+MmdLIZ07rS5zAGpm6RzDl0P05ZCedZ0oMOI35Nx1IDxGadyWOZJdHVrdkVpE7dHicYx7eYcxxe
LKTv0Qn3orRvXc56QRjmiLuc323OgTyEAkAQ9g4j/L0vaQh9XF7XRcj5WoncraYGn3LOlaOhHpSs
uyhUrvFOHj3VOiYpZGGJKDmXpiidkzyoFpxY4yl99IlggP1oDiFnWrUP0nVQYT7qBo45gpOvqBNl
28rDcD1a09otxjdRiDeqoeJlI4/ODWdodzQeWPjyfdkRNQC79qz34WUoD968zU9unh1JEsPH621P
CTHF3o3xhCKjapsEZuLGYp5Iu+c6KNLLzA8xxFvZm0i11Shnj0VabjBdvNr1cDWIJNhSuQDTp2eD
lWCXWMaRIladMh5tig4wP+l3EZPOXo48mXwXi0CDt5LLgShy6CbtSQqI9imTI9NKDk+xPB5nOU51
1OkOxvXgnMaGaqiyHdlSpY5Zu2ch4JJZEkx8NjqrJu5MDEuMI805HTdZFLH1imIXoRYOipHot1j8
ORRLRoruhBTWJMbjrNqLMqNmobvpRBpcgIAmePFOWgmVZFtaxWqg4VRjPMMQxEERiyaa3tXoLhqs
coHvxlkYShsvjYAJQslmmygHWV7w1acg9rHqw3/BN3NjK8hRQ4yU1I1bFVKM2eV8xFO29OPxvrSi
V9vIzggZsPpKzMxQt1CMle7ZlAia2DQeMRE+KaXBvB1KzeSaBXJcvNXV4LqSIBuoYWtFB21TzcQQ
8mQ5gr3Jwd8I3z7XJA/HAYyTkZRXJSmn7zCOMdSAb5yAE+gB6miAdSzqRrBcXaVhezYB3rEA8LSA
eEJJ5Kngg1QgelRQPSPInmkA+1H5+l2QQfMJa//GB+/TxnxCpR7QclbC/kmAAOU6nnB7uBWSDpQG
zIRGtHGa7NQXTNZXQx1fBDI77ksh0O5l/+4V4HXgHzBPazBEwsEkzn41QILrxHAowRUFU3vnSHxR
bl30pnUMwRoZ5H5LFc0kaaYHq3OcTRxImH/k6h6POSYIlcKgaioguI3syWn5fqjBKhluf54Y+g5r
5l0n0Uu94hvS2rPDUR55XLDqgkzjVRMZL6VEONkS5jQLZ6O3sbFKJejJl8gnXcKfCnfezhIHFZdZ
vKPK3hsbRBqJjZJPXJ5SFBInMKUKdtgLvWrVdQdvKlCRpzS12qp8BDyTLo1JnMed+4k0FNeWLW51
YQK1q4gcSZxVP5XhspCPuDqccTKo1zrsq1RCsPSywVxWFXuX4P026w2PGkQqFjPgWYLrrZuDa001
X2yJ1wp05zzpQ38TBIqyjpv0iixcvagklmvS7Rc9spMV80p8EKCIJgOIVxbpxAKcaZ1E3WcGd/51
XM2Y1mrtJpcQsE6zo09lqFwICQgrGp4RUXQ/ED6qCSFlhJGo4x5WbY4CF5aql7xHlqJGxpdAdWb3
2XuoadbBD7ail5gh62A59Y0rVZda6i/zXDzh7IVYYPYGkJv5AbbOuLCRbbBbVd7c1SczSi9ChB0D
gWdE6NGk4oPveZ9SOsO2Pl11rXWJwHPeuUqzEFIvihGOHAQkVamhBElNyeLIs4jm7sZAbop8dZ8i
P8VSh0rwBvFu5gdXSlTVdJdZ4AeG+MT1wIeAmJUhapGsUFF4o3TRq4yVpfJFRfF1jhSmiWYPsedg
quNtrlOUjmQmkM5KF/KNwx9GqaoxY0Nfk0obbjGKIKT6lqsodDxj8euW2xyBrpZKnY1kF8QC24pU
8Syp5yHqoeyV8W6WWp+SDLv8Xf2TOmAuFUEmbNESyyyjRakXJio9B4PUEIMxWttSVXzfjPxvb8s2
b8UFcc/m223Y/9e7Mo4EP9+VeaSFmucfbMn4qq9bMl37DY430pKpA/aWSdM/t2T6b4x6SHkCOzVN
F5zphy0Zzhz+EfVT6FJIWh8HT9JNZtjAcN6HUn8LeqPbvMiH4xtbMpsqWRmFle2wDiOwb7dklDwG
iSJ885jMpQ2pThQM5fvQaP2jLogUZudKrOhbx7dTT+nC68nkzJ8IEpZoNyppA8yOQ1olq85tzWVj
ZepWHZJ46YxG7XV98YzpmSYRK3qeq2ZcZkbYcBAVBGiCyqv8+BRX7l0ZgIwos4ZUgdPQCjrhFI9c
kpZY03y4m0nP0QjMali30gXbHrq85KliR/e9JuDY5BuRZjU7BdjC8wbwBRFJNSMZFxeXM3JzIQp6
Xxq4aGkBarAl7eBW9BJE9fzsxvWlEGwguoznuJvqJ11t0/POnIu1k1g5g/S0YGNffTb84LmLccJl
ir1qp7dh1C3CGBikFQPXQJafj7p5X+YBEwkH9cJk7OvVBnPyhBTjwiiwnc2OW3taPx6MOYpXej2/
Mbted0V/gLOz0ZiRN2WxaYxmVdfFUo81zC/YvLy6N95aVrxkQFYnKaXPxllO3+0Mg1buP2sMC1Tv
ZdGN0/H8T9NymyXBaizimxTmCHugy7JWD6FCE0xGtUttZZc9v9IuM8OVOkZ1vmkVwo6OKPealb3k
jeQ22/6Z2rtnAJvxLaQ+1hAsmPWlNqql/4R/ONBXjVEE+aUyt1O5yTRiv4GaqA/THLvEYuDI0Hu4
HiVYJoIw4zYhjx83oGaGfxxBoalMiaORYJqsH7ftFF6Yue+slGGc1hUUm0ERtVyVHknb3bTzeKn1
2pMh8ejwbwANup6QSBwbNk6kj/tBwnLSEPJO1ALQMdnDODK7ZbEExzB2fFg7toTudNB3Jonhoe2K
uWXgHH2J6MFnz+jAWnZhCyJPYnxaCfSZ7c9aXJgraa/sJfInk/CfFApQInFAFlyg2p/JegIKqiUy
SCnCTwG8Nhwr07x2BoapbMQ3utI8UvVL4AP0UC4hRA40olJiiVoJKNJEshslsojuMlD4ykONoZ0Y
tEaDS3xLvBmpUwKPGp95DgQk3cHcKZFIoi32uYXJIcyIN0tsUiiSzw0cJbjaz33jn4mUp34yxRdM
2A6lRC8JGEz5kFL5aoBlihnE1BLUFAPR2VRjBltPYpx0eE554jzOoDKzVHZpBI+GBD/NCocj2lZG
ObC9taFDjYyHVWhRlcRGlfCj5rE6+BIo5UOWEqO/oTodDq/YhZCnFLe5DFXxVprzRQaZCvpS580C
WFUpsVVY8696XNkJPKugiza1BFwlEnXF3SOeGuhXocRg+e9ALMhYGYQsId08/yxt7/MYOZn4+dK2
fEv/dVHU7dsPVje+8I/VzfjNYulQyUGjH4C0/bC6mb8xnwCZZn71UX9d3UwdLq7KykdM9mtR2e+z
GFMD8Y0Ngsox8fcR39/LDVSoWpYsPnWI4pqg575d21q/Y+c75/opLzigJdGZHZCS76cvl8hPdQ39
fZH8RgPFXC5nSwyQDOmm/O6FFJ55dJUmw8myuIPR1x1zZc2Uc0YZBE9Sd1jYSOJrbXF0p+6sSspb
W6fxomT67Q1Z3K6SWksOfW25S4MgrGcAi1koFskemnMeyOBic3RCHvIS+x826XXJCwK5Tk8QFLkl
7JyzYKVXS0fpaSWE/bXIZAYNEyWTAUbV7MAlgmFrGBT7+aJfg9Rolx0ubOKgI48g815x7HPX7Iic
a8ZDaKaF14/WNfLolZLRO6pYF62MetJ9gFHNgQ7n9sAvM1qwXe2W2xyKTNDTMyQfIl3fXlrKDFWp
u3cdeiYC+ynIpsd6BgpACSkr1BSdOBAdhJ2xJbWtrXB9LGEcSj2jrm8LEWwjeRREWz6ADnzJhzBZ
9xmZHNHj2k6LkQoPypMXqVnkzCXmJy3LehxvVIc69dqZUotedGNZieSps7XbugmIrmTdgrDdFSTy
jUWsKxCBsgCkl/FGqS+hQM70Qt26Viaa2rOWlh/bfXLbbKVCuOmqsFo0ncl8Bx8I+hsIgybeJHb3
2aFdCs3TOlf6jkdknuXLio2GRvu2TgnsOLGzGUItWhN5OVVpGK8NY9jQJXQeBH6waDVz4/Z8tuFA
STag8n5ZVtRz9tYWGsRVkc/TkpjmXSQQlIKGYzYzletm6HYUxvfQI9RPlO1SqzlMd2kUWZvRmJmp
oXQ1YUw4d65f4VO86kPKBoIesyJ1d3ibCEQRGsoS6zJLnOVoF+LMNqh9FWn+aY5L2oua0EOMu2Ed
BwNa2cl26IyNjQKgG/7aoYKmXnGJYacwh5BAXVg9EzAPcMg5CvVPlhiJo6pjAtF40mvwduZQ5UvV
HtawgGSuqh73aWoxy2fsA+l0R4rsFXzijqnjup8LMrZYBPu7xDLICASDBjjNgiSL7g80I4n1nVHi
e6SvpFWD1eRUz+xGr7REecNDnQD3aC6pJQ1vJh3BLmhavBvDEiSetlMyK8P83p851MYtlYaRGbEz
r2/6aJd2wfAoYruBzVbCIaGjpilHdsDVIjSbszImYtA222FoH2Yf49RIY1sfq6e4Ls4TwS1r5MmJ
NZEOPWXHbISWXDRGgLZTto776FUMkI3IjcOD6bSrsBWbsWjfEvapYOKVRS7KBzBnGKx2oVkfklbZ
TsJ+HmP1abamxLNTtJgpfUoxYw7NdqJguCwoEIS1R4DX03GSLkPXbBchg7GBdH9P8Withey35rLf
GHbcrlUt4fPszafcxGrMsX3pK3VNhKGkUiU/TsXwWBfMPKLJvGtb1TkH329WNwU4mwCZzt8WuF7T
f/cY/ct4B3yTJrEJFpFtVZOD/Y8Tq6ZpDNOfxHSiVBkyzsbfj9fF+S5GenvO7ylW3mFoWvgH9lI0
gmyM3YcF7ne5+l8YqU9FlLfNf/7HX4YY8uVdm3VHN3Tm9/LtfZj2ADSxekV086m3n0t/56p0TI9P
gBS+HJZ/ulz86HVQXFXgOnjmOdx9+zpuy5oVjf180qKzkGEtUpwb7Ibu9wawn77Ot6sfzyB+Hj5P
1kAo8jamq29fp6pMLO2EQE/COtSC/ErB9Xv/68/svTn825WPF/nww3z3Ih28sUYn2XLq180drq1V
v1Vfqe3DFneecY0truhhWmRrfXt7gYF3cdEz6rxrVv7qMt4Pi229rM/AQC6CZbHmf6u7X78/XX6Y
378/xh6g4WBuuNb3ZKa0g0WdT6p2Aq96ARB+pZ5r98Fep1Tc65bTYv+obUbvoloPW0ZX2YFj2iWD
4jVppC/Ty380EoML7+cbSWnsWUZvwQ8mV/ILv24kNfGb6mhsCmWSxeYQ8+dGEuofo1cHmAphZznV
+lMmYffJv46wgk0XBoHL9vOrqUf/DXIJcElXlX5a2Xj73aTqV5OrH3XFmOx0HIPwyf9j70y62za2
rv2LkFXogSnBnqJIdVYzwZJlCX1X6PHr3wdKHNuKr/3lG2dyB9eLgUgAVXXO2fvZhqvagit9vzhg
rA2piBv9iL0WU4s5Cwcbr7XMZD7k9SW96G6yqTQNUWrDMqQ2v2mB/AdQxy+QjtnPSZh7eoOoX1RP
cEJU9dyrNbtFTM+Xc0WXuyfAttM+0Ns02lXNqN0S9quYO7UWUmGcoTSnzNf9fTJaaDa1JInVm8h2
U+MwBVNaM/0JrP4oddrbBDCTeW/l6Suxr6gE86il1DfIStiIGWjnvrPtmmpsdkaq1cyBJpjdK38O
u5kMG2qIXYXioM1hOLKqqLJzzl+rcHCRMVSyWbVijA5mMxoXvj/h741d331uayJFkdT5MNCRW8MI
ycP2zHnqeRzzJzsJXmLLyFbUBJlXWuZr2TB8cgtcHl1WGV/6hvobI7FWBTQ0J2Gum0Rpn3orsBad
JuCk9bSDPMft4wXxf869qkBFcumI4Bm3um2t53T7FT+8UBKNCAlVkoVQtQOcwrLaGCZUXQl1CfYK
Xh3TIYp+kC3NFCIpuLmcK0lIqfvaJ3k4OzgtUWCmL+0jFsdplxgYriNqYcruEJ81lkwZaASzg6j1
ipoWtM14pnTcV8cIlY3TTdtUdU86OMINIAR2sHpeDX2oD7UxPBih4S+ZqXUgB2CuqjS5WyqBhj7J
ZYKF0hMh1Cs3xXopTdtcxUqpnUSQJDeEDunXuWXlr7EwkJFUUX5P3CqA/aj6kjMzO7y/rP+tWrO4
5H+vWjT7Phfpl+af1e/8ua+LFnJDRuJi7sb+yXT6tmhpQEzZeE3dFPpf2Vd/jdspcWerAc1dfW7s
vvsNvla/c2DMHI89/1cZlv87oPmP+z8zdhAps25FhSuN5eHjcappx54potmfW7EnESkeIc9tvvtR
fnJk+rOE/nF/pYMsDBexP65pvu+P6yI4Az2Ok7o86z2FZg0qsOZoGeparp9Dge57LoSG5GoqIsu5
DMPQfpCBrSVXjjBBR4ls0PaaVSJ7KXZVOIAdIFxXj1ZTRHJVC3RzHNOzbyqQNJTdWLtbpSpuGsG6
OYaERFT29RDVW3/khQyzYQ0xVV2aRrVXSmy3TvI5HZNnxfeXbVnu4jR+4A1RvSkKT0EDck5Ld3ZY
Ezg9yDfZ2psyjfplWhk2PWQDVx+HXIAe/bbqaMG2NoBxZ1vptcfXewgssRMu538drh8m59cUGB8j
SINxdPbql5gonKzEGCFIu6pquabTeAFAoF8Ca2YMBR+Bslt8Hup8rxtKtlSN/LZTg72vaXdywIqn
Rc19khH1G479S20Z+9GQ+bqKy2MeDgTuVTbZtZFven4hb2QEvcc2sA4Eo34k0QT5Q61fpT3d1qlr
H5RYX0+9Paww0mULR2veUESnnhNpBYt9QYvEONi9NJi9VWRWJRX5KQIpXdnogTfELfCdEr6r2mG3
MsrpXoV3r3M7F0WrXJs94q9MS2/7zJ1TSpNHpWKp0zBuuSA7LtOmVz2G7/uaJXshVEDVqhNcBM2L
DpDMbSF2Zb3mGUNVs+rl9/5EIqRfOTmzUHUvnVYum44cF9t8KSNGrv0oD61tvDg1ck8njt6cDChF
YDjTsmpcLJzWmxH1nqii16iCDgX4dRtqeCdUoiGLIDt3Wv1ZjWPhSaNRFvREdmmUEPnSNWtSKJBl
gPT0jLrpV4YiXNgX7Zlx4l0XtLWnpA0NTPiQqhHeBEND0oYdtB4hKqvUkHLVBTahZtw/14lvNFqr
DGKBx7jdfSImi5rKeouBfplqwoEcRtJaJ8d1wb6VHPOMII4gjsALmuIuGKsb0ldKLBT6KSACZRkW
Yc/DOjyRsMPT01ftyun5PWybHG7Lp1AXZE/H+SuoYGvdSXGXBOldHUEVHxQnYqDcHOGhvzWK86iA
McRwGHq2rtaYDnxG3Cub+Y+2avQx2ZXvJR6YksoHB9R5Lr2i6tYMenJhrISnnAjJu4Tcq50JiPNs
6f1tVWlbZSpfM2Q1UVKS1lGUX9SmqshcIymzbRw6ID3TGxnF94bRLFPLT73a+gQcftiM0MYushli
oCjXso1JfO3jlOOLnzEK6QibVWwC8iQyQK9OTRPBaOoFRB0MhX5kuENMrcRSb0M34N1c6GF5WRf2
AzExr5EYqgXLGmFJgHeytPS6EBybYzwrQ3vg4LHPzPYxaEF3suZcy1xdYZC6LsAR9apyPY42eIXg
k5ZYjzXZD4UqDm4P4sfGMIQzfqqbNag1D5/Al7ZTUmYx8TKpm2SV+YqX4Lyya4nFwjHXsuwubVrp
soJ5pyOqCSOzXxQuup/YURa+opzGRn7KIL+QalS/1rg/tGq4V+pXs+VJ7Cx7rRuxTRwKvXtULn7P
ECNuR0VZiW60P9lBN2yqiiDPOADgwzmnKTlTEGZTGMrNMGGh6PJAQPti3VokhVGOiwwA3gavpyR5
Hq2No2efkqpeY/V66Pv0U10pj8hn9CvRmtOZDa9ay7R6rjR1F0r9y+A7pwreEHmqwTLPHMRX0O2W
UdU5ZMun0TqbMvfWyJzxGGThTRQEn2MN3gKnufQgp9Fm8tdQ2QPU9IwmfMw17mIf3kZRAYpQV/Zt
Vz+05B3cOApMJ3/u1pT8fYsuYu/x3IQ1AFKFtazbcjopgGBurVgfl+Po9sBksZ7wltf3vlu3kFvt
bMvb7CyrtFkaFqL5Tm16IGGEt+pZMW76XAANTRkvkkAQ8bJDC+1TV50zu89m0lyTfuhVlrrh1EUy
vOLjewJzNlnqLcqiB6kON4EprR2d1AcIUnAhgsm//PW2+8+iVtDAolayHMz2pvjQKLGgKtKjrtpz
AcAfpCvhWxZ/tQkML/5dhf/jKWLuItDaBxqsUhPZVD4fCp8anFGjkV5+dnxCgD5V4zpUflOk/+4S
879/13hhepymfZv255IXEwPeIuyejPLm17/ZTy/iurRdOFupmvbhInWYJEOc9/1Zl7dVcTEo2IJ+
00D6522ZpyDfLjE3fr77Hg08y0A1hv5sODdZtZ4glnMKye3nePzNleauyo+nrh+vNP8l310JIJ2Z
WQ1fBjvzQs0tmtb7luiZbtVl+ymb/nXHCuiEACWBElqnFP/Q5GmCeJhko/bntHpQ4SnaEP/Cw5g9
vN+i/2oNlXnQ/641dln5KqPn9Ce1Bp/7WmvMqQhzWxR1Fyc0plnfag16JyoTOJvFAADHTCz6OmnT
KVBoWdBZcfkgtihWim8NEoZ2JmYlGit/ju7+VYPkx/eLng2RDSatQLqnmK8gJ/34SNphJfNBqcbj
oJeluoZLzDiptJlXvYlpyk2OWlhN2d31SNgTgXrJjAcn7JYVzDKgZmrhfDL2+61UMYYudEt7gf1Q
e4XrPzMcu0n8JDuPCQOSarIAe5pwyimk6mNhWW9w6thxMy3jbagj8nNbNAF1JBnfo4/oMtW8mNo6
2yl52nDcTzANeoPFeCOOA/IJUdqwm7gXyKySA4KsfAmZY1wzjpstRgniVAZPHnMuuUAtCzChG/eJ
GV04ReMfsgiMbqK41PdIAR3O1iSzM1UZ14Nrh0u9YRuuOOMRDv6OQ2JHrJyWOYihPKas3qU15Hs7
bG9VKxQcdgxCgCNKosAdlUsZWy99zkZfkWG5AQjyNsXxk91HiAGNTs12vY9IozTi8U5mUKDIjiHY
XS92bRi/NsGkPXLsFVdT2gD+JQp9adcpKsaxYJYVuLl7QBWprqxeKHujHMSFSe98E9GzAVDUWhfS
tq+cNIhvqIR2fTjeKiVOzsLIjY1wiivbIhSduR0qC7I8OJ5SxU2JDXFY9OqCpHHlQg0Bk9gjad6P
XRnsSl/oyaHxR7XZBNl7dMYkcRidQu5dR1MrOo4qZ/aFEqgkKCFLEL3rOXPzi+4KViNoW/TEyrk9
pmhzp4y4+mkv5/ZZ9N5JA4HJOATXqu6fXB/7Uxgl7lunusmFVrhLNcimG6Njn17+t3q9CwXmXuwv
Vi/g7D9ZufjM3yuX+YcFm4gBOaQS/IpsVl9NCcSAIx7AdOAI3Vbf+7dfTQlkh1to4qAI6HNE0Lze
fV25TGRz9Bv+AjkwLPpXrd33NORvmykqBHrH+vw3aPwVjAk+bKZ6mJZq0NnNZZZY4boo0mg5FBm1
5BVzw6mjHnFDEktWRtiJEDFll/QrU200FXElAKDeM+CypgdaqtUIE9qhYUfoQG9KZN2DVbUcr9NQ
R9tFdcebYaQRwhfFjzuw+r5b5E+TtFrjbLetK/OlLcoO87Fp9jVEIaWK62d7auQ0IZr17Vp4wyA7
2C9kSslNXJfuMaxEuAsGCeG57427CohK4qBMrdoiIW40iWktVH13wOI+rjUnyi9tcKzXaI36zyI3
zXLXxWHwmSbisE5rkV3gvC8oZQv/MlZMY42OPNwS2UcD0+n18Uq1NVgJbdEfk9zuL1Vks0vpl29F
79Szs16Tz04EYy5tDK31Qt+kKwvK+ZaYtYzGZm6+OFPqbrow7ekAoHBA8rtJFUO/diaBlVsP8Me3
YjCWjkogrtk0CkYCMV5KLBbrBE0HXDS1RGRX4y2g/YJecepw2MGBBH9ZImkgiVV70qdyOofTFIPh
1Vrtc0KNeGirOtiNSVw/6OjGlhwUUYeUFC6Tk7Wntk1e+EnzXQX//UatI5F6MVKWI+Aad2FCzrgc
kdUtg9GMLs2orjeum8pVPLnO5VRRKWRVTkUyokUM9WB8Ae6bXqA1rj+1WdGuazfOcbFEGqlYajot
rBDAECg22ipDZV3REFDWrH31WY9I4mhaURwYIXaHuk72pG1MjLgVZ12Z4/DWG2G6dcos2A8F3JmF
GdvKkaACwTiiRrpRjCmtq4YlvBqdfFMGIN4NTByLwZSc4CbN9fepVKxPtDXuMbFoF5rilCf+fH+t
JAgT6kIz1o2U4jROIWN6NGy7IMpRfmONoNwux+tQOv2yq/tqNUYtWVnd5K9rnDbBfyvrn1SbGULz
v1fWi+e6fs1/srbyqb/XVvePefDFVEzXjLlS+7a2IjzW5//7qxueFflbBxrFL68MPWKVcn0OCPi6
trp/EGNj8V+krMR9wbDt35wKmbJ9X6gwnAOcg5JoNiwbONXfI8i/K1TAsM4YBas/jb1ew//u/JgW
i+2OvEIRGBrNPzRTEuirMe665JPaqopYMiaMml05RQRQQ6ZOLmoq+WkVD1oz4UQq8wIvTa5b5svA
6Y7DGWEks4BSRqhPB0m4hxq4b67I1OYGlAStV6DIDFz8cZpAsJVFj6aUFViZVpUVaBOWq6THTDNh
56a4aYNBXWVaIKeVYasZDBrn/W1M1E0rwJptZBcY5l2q4rBa46rYRZpawnOyjGZbKt24HfSxjd96
3RnWQcyatgqCmFpwnlVuw2QI9hDq088RclrgGvSXFmM5dislZQVHwGuTPsAhV2SA1js2kc+dybI6
TRktGjEqRIJXgbExx/DN6hVkXrnzBpKNaOQM7KVd8m+INRCPdfi70fT0hzDAdebMGYRBlBHC0ABo
5tXPP6PDSxaa2iRymXGKgiWgiEU7n6vVMRJbCGDMvPw+f1adebGaimBfSiWFbM0wLB1Ud+OU+Wti
T+ZGT/UAyFxnbOqiiVainrEpAcwgw2zTcyJom5K2TCXUwfWsqn7lKLivAkd/DWul2JoS+FnbpTqM
UKNaySKwkVMpn8sEP6A1pS2G98LZhFK+2b3vb0qAOBgj4g4anMRPkkIN2wDsryFyiBhufBgf+ZvJ
RUf5Td5KhyU5FksQciB07H68cl3f3PQuiP96NpsVfZasdGk4i771u1U+AUbKHP0hzRMNf1EcLKQE
5OP3BKUXCHAWTdlVi5bGz5wQXl3RqeW4G/TNlR0xAwYSXjFlGOmisoym60m4w6qGhjQP/8rVoNpQ
YTJMKf6QJ1sV6PashP8LWvBfOW3+8kB626bP8vWfy+b8qb+XTWggqA04WWroQ1GGfFs2sdCanFId
YrJnRcH3CS7WHxxhkRqwbv61Nv69bM5HUirz+VyKtXXOL/4Xyybnzg/L5nwkVdGTmnM1T+vlQ7Mq
8CtR5ZwYLidiK+DOt09y7EMSOhveiy5djjK9xwkUeWPhH6N5GzbVvvZk3p2zutjZLhDOGnASw+1q
yYEDSm58HO2JTrMW3QiRfEFtSOJ70dkwkXqayb12LCaGaL6wAi+ryxMM9Pt+sp602niA/U6OFqKy
tZ/SY3QRdqYGDWfA4SAdECfYJGwvojL+ZDr5UzkWd12IqaloYIr7lvVJEqeXD/l9w1nDz8dDaEFl
16Njl4QXTRE91YWTccq2z1I3X+giO6uML4bIjem5phV7mr+PMMbHlRHroIsaVHBV2m9RAtyNWilX
JCSuDWNq8EuA3uOsRsys4nypaJMtndS6qBsmU/mUeE5grszEuS4i90tVu+fIJANCq5BOigARrt/3
l07ZPYgkf8H69+hXOPOL/MWA/+m1iWSEATB3WxPXEpRkaoXMO+PgKdVILStTp1zimk0XfVm89Kp7
TBTAp9mI9aHU9Gk5GpnL6Q5zAJ2aC4Tq+8rwL3Kw7qTYyjWau7WQ/T5w3W2gmdfj1L1FRvwKw+FW
j4INuYQPWTBls3zy0uEmuYICo+9twi0ESHttPkFaXX0M3eEtxX2BpE9sCuELr5VI+TKh3RuBeW00
IwqHKLk1Au2t1axuN0bzx822XRt6+5Ap7bYuwhIjqbVum5bxS9vEG8tKHwvCLdcgRC610MQ9l2Af
qeYIDxoZMwZ/LWzwcmixNxg3cAOj3Fy0JXeN9DkUoyQht0YEyAMvqzUfnf26PER+VtGw5EgtYzwN
Zj9d26TQ9rm5biuj8oyJMJcggbUpmkFdOIRGLNOWJ45VXPGciYd4rLmHmVYGRNlON6hPuWrurAO/
W/uivZkcfR/1CQnBWkpMdgUfDrNqueg46jfF8OAwMqahWX4WaiGJsvM92Q/DohfRlhxKxSuUcCty
JV4qNgJRIYoNhpCNKmBc1EJxt+Ts0azqnNcsri6coegWiILLlXQbKGLjuNTaLl8F2XBXVCajXYx4
PI3QqPXmcz1D6oVUAUjPpUo2WNrByIkIAaaNIjDV3FBf0ia715xEdiupEKT9iZ/Bb6Do2gGNswhz
jeVnIr+1YRgUjDfKCVaWTOlsqcxEz0wVI4uggig869UQPEZtuapTHqHFLEG5LBmlxI3VekwRF8IM
tqHtBjcUlArdJ3O4Ase3pwsTketmd9iUWzbV5eBYdbVrbeFTcUbDu2qH2KEloGoPr/dVwcC/Qmek
aw9JL0R0TPMSJm+chupysOwXEbQtJDlrxGW56N/Hjn5iYKOKIs0ObkVjp/Wj5neBvwz1SQuXlcgs
/4l+G4EoQiPbagGVi8iR//o37/0bjd3tf1cZx9f8S/ES5T9p4swf/LpjatofDl4OKgIWO+09U+xr
EwepC1JTWsxspQImFf2Tr4XGrGeZmRMuh/F/kCXo4PytgPkXu6Vp/WMaIkyUcDSXHAh5zKg+aFBs
0ukdzuvKiQgKj2hBtOTG9Or3gCcTM7UWrQ4ki5AeOQbI4gSr7bXLU3Sl2bNxj3TG3CZ4080cnA+j
vmxrVd77TmSPL6YCA8nC/03bkSBsYmGJ3NMcUm5qJnv43I0NYGyJkKx3NrwJw6orFXctVe0hLxPx
ElSEblfaUK6LOYi7b8EIdHM4N7vesNJtdBBtosmn8j3Ee47zntiz9n1u7+MYkUhPdWGGHNprUsBb
rf2MXEYsujkgPJ2jwlMywx2yw8c5RDxDKMYe3V06c8B4Bnxx5SJC2hCCSUDoHEQukwE9ioNCfWS8
7FD6LDSf4PJJ75ca7KJzXJM3hYM4fewcc7xR1fvIwNlQK8klrN1wabnuFfBaDNeaeoSijMSFADbs
yi911K8th43UaFIwgx0h6/Yct47eJdrntGyJoyKMPRlrsarfE9oBdPQLZ45t70pHW3BblBPSEzYB
+IJxUwD0jAz2SFybSVcMV9McBp/XRnI1kA9fzEHx7hwZzzbHh5JpitYktuU+c1wQCfAM8dnJOXF+
eg+fH0B5LmtnjqSPw3CiyspL/8bkshvAkiVsbdfOd7nsug1HqGjvW4pzjAy6cAuCIRH28+H8qFat
f6W24WMaIkAIc+s5kBnbME115CDuY6KCNPWb8k24WebhM71IffKQnHg8pSIpUPJkb+FkLitCDU5j
ZoxehnLbM6QDEjkn1lXprJ3sKnuvEbyCrWC8CWNmfFqWbYyQ/3Gl46mDCaLCGHvc5SzoPX9Ao7Vg
yCTRLsaxM0tlP+JOUQvKsrP5rsiShBsgz2Jn8bSa7RboeHMhK1csWx40QjPRi8jKBKdmFBgiimJT
oFBCkzC1GzqkT2lnLxsxQA9QhnrfD5kO7zpQ16bhO5cJgAQlc79gb7yw4uyqaNs7n/DTurQ14riU
8nJUonGnWRKcZTERtgQSJGvM9FbA01g5zmujDIcotQ+RYV+MIfGbdhxiQhzJhp3WfOcTwV8XJkBo
iLQH5PMXWejMnCnTP+ZOWS8zTJLrNmTvGocAIVm6kzHxbhU3yQntfTl7lpTY9hda4jwHQFfopkan
oWO7HnL8NErTZUwZKk+10h0K/ZUjCS6W1INFQrKd82bZEUtLtpYTgUFJ5YmuRrCuieuy7pchVnyb
rq3b4+YCkbYIG/K4+yG9I+77pBntHcIch4fULayTT92x953prazUa0xiOxs1Aj7rldUMOv3R4WAq
iUc75Dm09I3Fxl9DuV/EpnOuk/zaKbQvbsI7nKWzI3i8NpTBWsJaOI4VtJDE8ErucRa3kWegrA3w
RHWTIJzGz16oSG8hqzMkS+KdbMMzmcWnDEEXjOqdPxRbOys8FtLES01xleXD5ViNnjaNu9yf2a10
TSZlg9JlSxSBl5VIxOphrZhi9oBGL5bTeqlSbpXW9ZIQiHZZnPJSANjk1ETDnGTAFngfFu6oC7YD
gWZZoVx03bjmpP9cAe0dk8GreEXodXm+VJe4B4GNp68yfS389nqg/Ikd+KACGVWfP5iVvawnurgG
12ikZ/jaCZPiTd1Ya4OzvxkM18bg3qbxpIFDSGsKfbHJUMsiV+YJpEpC3Lh23OyNI9IlK9x6RFNU
h87ScrAkB3W401UaOpN8EGqzn0znxsKe44T1dQDdo82Q3JavlUB8QT9kYetzUmK5xp47E+ZWIYqW
QA+vgOoei06/1vzsTVUaSiaopswlSyG2itttnVpZizC9ic3iojHxqvGX2uhVOIOXK1+hASzaNa/i
Ze06a1Wv97o/ckFAvyU/2JDXy6KCgGgY2kvfFg/8p4z14OtLbGelx5vE1C8k0DHvn+u8xnesHDgs
7iZc7MUI4qaTCaIONomw9CtC4aECt5a9oaq5J7fwqakoxUp7hwqfFg/m5KKR2xyWvBiyAoKQu2EE
gGVJ3Bcyvi4UIveMYR35xCmo7irIm63dmDyd9gZ87lVepIcSk1mntDdpZG+dwT9R2+xyI9sTzHAM
C5hDeYtqKB3PTAt3vGAo3ZyrGDqQrg6PpTXXv6L1NNe586V1Vcv6lNfmdTtAyGZkcNPiEOvKIsf4
RtaMmV6kZkADG/JdnwZHOS9UU/EwJs1BkyQZl8j9mt6bS8e6nw89+cEv87s5Y17VioOiGeFJ8YUP
nSbCdUcLx5u0Zi8FeaV973UgpxQl/hIG1l3cZPZOQ0+2cO3mEY7jQiP6GkvcKonULxYn17ypHshn
2SG7ObHe0iqTyYba/UBeM+8lZm5vEupjaNbl2tWT2wziwaIakk2iq+c4ceJVwkw6L3qdUY699RPL
6zUlW0UTds1aepQFkJxGbZmkRHeG+XkISDbzhz1Q4S+lUq6UOn5uqByZcuBzIdUVA4K9attgJUMl
h/bdLJKm9bKUTQK39bajkO46c80sZMOUbI2UbpUX6G8zYhBpt07rIcsPYxMcZAPMERvdQhKxnaOq
beD8K2Gv7GEF8aynvKcTKarFLlWa46T0j7UsX1qH+j2uXc9Ph2NntNLLBNvfd0fan+iUfxQnIGLi
hKir2tycgRdLD/BHcQLoTinbKFdOIttG4JgKYiyhXf/6IvOc8Nsc8etFLJW+ksHRVvsg/4mUTFiY
KpXT4HyW/aZvH4fiLSCFlc7rr6/0swMvXaa/r/RhYln4xaiSm6KcNCTVxoiMGCn0tCsIPmyfIoyn
v77cT3893ibyqwxVRb7w46+nOQWMirQIzp3y1LSHCgJa+vLrS/zsG3Fa5rDMZXTD+nAJ37IH4cI+
OqP7jftNO46rFLBXFhA7Cvqo+Y2A7iffiCQdihadR0JTrQ8VQ5dbtTaKJjpHebCIdFq5waZMfvOd
ZsXLh+fhh4vM//7d7KP2lca0fC4SY61s5EXshn8Oxv7fHX5k+nz/NT60CbtmasCPcwVZHq0ZM1Lc
+nb0m4vMYsJffY0Pt6ZMZgtuVkfnAQpraHpuBIOpZoF7hKJl1SetrX9zxZ/dHeaa+LpgKJvMtn78
4ZLIAaUYq9HZrq4qEYDo2Nn+268fuJ9dgwmYZVgY9hmcffjpfFNXLMgg8RnQySqzlnZeeH169+uL
/OynQ33lIpxTyUX6yA8t+tC2owhxtCwfc+sipFIEtY9g5iZuDwYThN6/+vUV52fq4836/oofblaI
okeW6hifxUDuTX0PROg3i4H64y83TwUhPjA3nMPFZ7DCh8WHwBTGU4OaneMLuUMJ77VHnFIr8yq8
Nj1cAmtUv+tff6sfL/m+srJwf/sdP1wS3UU2MHGJz52FVzwgBM5lUSi2v77Kz387aBViFtVa77Hq
372v1qRadpOJ+OxX9FTVwxwx9OsrzL/+x7tjwKHE2OO60KA+PNhlreFqqZX4DGFxAZKV0+ZTZODb
j+PffJef/WLfX+nDAkdFXEjVtuKzar6GzpXp31TTb5a3n18C9Q2ead4k+8OjFqlJ5xgAF895fjIJ
8Bro+Gut9Zut7mevEA/b31f5cOvpe4bNGHCVKHkhl9jXlZU01mbSeklzVqBMmr+5R//4WkyqmfHg
dGIrUoGG/Lj4oIsgxdYu0nPTbcj5661VNV3/+jH4x4P24RK02b7fGCD+8oOGVXruJ9AdCoHecKv/
fy6BX5VpvurSZ/vxEvEwZApjifRcpy/KtCPC/TcX+MejzHdAgAXPZA6YI1XnxwuwdNq9mk/ZmXNe
1ppeGO8iuuq5+/r+Rf4bYs6nqP/dlb18Lp//OcKcP/NdQxbNr2HysLISs4d9G2HSq2VfI6Rv9uVz
vOGd+qqqc/5wiA3Q0eG57/Q4PvVV+eH8QUCpy7+g4GXC+e8SAYkS5AH4ttah/KAcRPqh0hJ0NTyS
83v23WoqqzrDcqtNp3LmVqpaYyyki66hNMc7Na42fui8GL1aLf2y/Uya/VM0B5Si+jrUpp8uq0S5
m4eXuASP5kS5YdJ8gcTWMKmLTlaUrkffOYs0UMnQaTVGkWIDHerY6+ZFkRUbJ3C3baydwOIb8PiZ
/ckArx5y4BvLRIrV6OqrYuXoIpjBJJ0RHG2LNDIFxQEgHXM1agy2KiZomR7thNnDetGcT3apn2st
PZkuJV7LuJWStEs/McvY+AMzptF0r9I4IJog8ZA8k9hu0iMN0kIsx8Z47YsgJs2oLZ/zhuuMZrch
BBxeD7GjiqVuM4U0bNQncumn2K0bNxKk3AXlvsX7u9JKBNPtHI+WhJUXkZfmVuln2FhLBqJQhzsI
u+/ZaszpNsMESs4W6Bn7ZCvzHJYJeWxVTUbMnNCmEdWmi5TMNsLbGMkisZUonP3EvujnhDe3t26q
OfNtdEh/U/KOb+GSCMc0dZf3LRk9k0so9Zwbh/7o0iJITp8T5Wqi5WD+38Zz1lyk6FuD8DkWW9yB
lM3o0BkTzQl1MIyHhUJoXTGn16GwFrfjnGhnD+YumzPuDMLuVELv6NraXjjn4AUTiXjFnI1n9R3g
wTkvryQ4L8rrdjXNWXqVjwzGJF5PqjkNhmpm583Ze25FCt9EHF845/IROxkulUYV6w7UTEIsjZbR
3vVJ/WkVk5h0Apx6rKO7EqfXYIMg6siKXViaHW+aAiL1FpRQ4d84vaPskWx/IV+pJIEicfdTGUZQ
WeVOVsFtLVAZiUbbGgooayitqzpszVWHqdHp8uKQO/KIgvGtGDBuGlN/EEP3UNajzSw1+tRqVUxl
4upe55cPXe0I9OxkUuXDRZYJw5NOfDU1TucVRbBpevOYz4hgX/mE01IwAp+2sUbH3wpI8QNX3GL6
NyOUkPTPi4Wb1JvY1i5SsHEQ25onMkVOnUjuXBA+yFX9XaBV5qYbm8yL1Spaybio11GYP7siIdpW
gfEegA103WOeMgKdrfXwrb5EfnRHgAeMAyUAJKeJL3pUfuqACykBohnJhOkZxtVKUZXHDqvXom+I
hxgq4kVGK7nCVfjEMe9Qq/YXe6oPo1leTqpBtPuEbZ4wzYFkqGMus00qKjItSX3XSWWXMhYLRQuv
u0CABo/GJ82+TZSVMTqHMorWbsf4mzkoFKxSIYQUeXqTpFcMeBRPK+RjqTTXsdX6Xq6gFzUZIDCc
Xeq9v8xANCqKtZ3maU/jx7R9JZ0KmaA4Ct2j7YJR6pIT4bjAFbjrGn2czh6CTZJNT66FmbRBCWrh
GTbpfKdKHHhNV120/bRzy+gzLX40Raq6dP6PvfNajtxKl+6rnBfABOzewC0K5Q29vUGQbeC9x9Of
BeqXxG7ptELx387lTIusYplt8stcmQ2OW0bxXZta706NXteNeL7ySj4GSku1eubzJS4gjRthu84q
1kLXWYDYTa5P2W934//uuDpnx1/suN/6t69/t+fyU3/sucs8Ex2JKadO6H8hkfwxBNUoJVIXjr5J
bBQH5Z97LoYiaHa2FKRj5PLjf+65kPdV0PrSWZyWCwngX8xByfX8dcs1JdNWa3GECp7Fj1uu30Ul
VORouorya2MCB6r700DXnfMwzvrgqhMNfY6en7Bf3xL+fQdypqykMlMTGGK9m6KG7s/WoSMOcoVq
FBC9xTtmxHPaOY/zXD0YQ/4dpXBTKWJxxcuXtKTOz24E9BOYH6qenRAmkUTBNjORMy6DWqGMC3Wp
IEseAXnMG6MQHAfQmengpHFNt56TlI/5NL/jiszZgZwdseaHJGqva8e8RLavbTmp32UJFopiBOLT
t4diwJY/Kc1Rs2PwankP/bHgb4ZRb+Mwsbt9Z4cb4lA+c5N8k4fKU1dGKwY7LvfaS2oHVAWEkZdL
Saoxb5DPqE6kT5RkDkNYIjsuxqyvhRNd0U8oME5WE8DLjMEFDHGtbFZzNbL/xQYJUWHCIMchsnYU
6yWbE504jS/XI+bxg8Rp5FWDRnMa+EvsmIBxh95LTcfyHPLX9kBXqaF1d4JhyXquLbxSfZWsgqg2
7xysqC3NtVaBqDqKppkftGGAyc1wtgo9C8j40uSIBnQZJxDRjGeC1PTw0xMX6kkniX4NNH2rpuNu
HnrY/UyS3DgItqNq9nTwQDTzGTeYkoIn5pDfSsptU7VxXJQlODCc1tDJYIr63UOb568RgxjfYiRL
94BlNjQSdsexljH48RwimKqsw6Qk9CApKlCLbJVMxjEM1afJFIeshKCQWdNbpVnVAwD82yAz2eEB
+5bDvtPH7RjH/i6yfMNVIn+HLFOsgso4Th0tkI7C/GFSJozrmf2o9AzmRKVsBkdnnN9TsUvZoO0P
+9mhREUtShw1Qe45vQIStyq3UQSngNTZda77G6NDzMaD7yIJP85p+pRa+vfC4DVjgX8m1XTK/eSB
uchLkNXXY0gIeGztXZLTVlfnGb8+3BFbk6sUlk0+toeso1pOj+dnipEW0P9bO0VrcBlHJ448LSpf
RDS0nm8M6SpRc7INdXrPdvEQNhZmoc5seGrJkdH8upyJZLfypXJIzBO/OtelvJ1DslaG/6Qxed2q
ExPjrnu17OBWT4uNhNaGGn01liosfzHrp9iGRV6J/DQn/UU3gk2Sf01IsHV9S5/C4G+LiJ4cqEGa
V1jTdSSwyGESc50B6k8rm+e5I3jiC/0t8/2cTHECjaYxDxqwX5dZ3b2YOTSMBdxYo5b3eR4cmay8
zHZ4xpVzYxDe5miWu07lfMWZtMscehmErPZ9l/EB9Jdh3Lj2Y/2bFQORpsX6no/xs2xx9FJRAWOS
iY5jfHXmiWCFMlwX/pAwbNAAQgQ6CAQ/t9xUABqy21ojaj6mpAKd2yRhXQlBKe39PlQxEGrDJhfO
++i3b0laXfsavE1f0mXaDBD9sqlyONZYx9JuzOvZsLcKmbj8Bl5SfFfm2hd/MrD+JvPDXBQnYw7e
tVw7dOB8d5nvKOs20S8hwVi3oaKY+aWdb5yk/VaUcl53Mky8euEfgJBkY28dXgEGQqxF4B18sz7N
Gp0KunaIOiL0YXtbA85kImjsxWxegAAei4y/Mkoqr2wBzVuzYnqoIF4cZni1pPmb4PrfLd9Aevm/
t/wFTeZ+q/O3+uvf+p+Wn/596yd+SwYeyWOZT3zgxP7Y+uGT2UiGwuSyjdyiorX9ft22+BfHgP8u
wQoKlJg/t36Dph747hKlkWA9Zsp/s/ejIf6095PQ545NaoNThEpj1U+akkOvDsEnI7woia17Vk/e
wJ4nPlA9GmNfGyAn24o4jysI2MsVH2yLBW+omvhhihP2rhmLwiWvddPLqzIYKaWRan8zDnYxvXVs
hsBTgpFSXUgiac/dwq0wi0FFNT560cl8VvOe6h8on9uWWo3wzm6hsNcWx2Y3VwjlU84yx/dZkfYP
Jl8cfZUmKu4WbIroueDVNmWZwk1pU5iWIZSY1OrkY64xJ6Ypru0fS1YSDsBWOYOJyGcNHH1T5StQ
1Pa1kfTli5FV8QvMXGsHwY1cmdan/hXw+8CmWyaOoHRwMFhRS5oFYG9oJ3MKfQ8KI1tlRtydVUVm
Fyny/hYOfLiuMWaZENDzftcpMHa6tLJpTc/GmWOEU8xMzTsqHKQdWZJLUipvwacX82pus2iX1nL+
kumK4YWBOTX5alK5AuibzrHi0nfx2SbF3u6NdgsqgnOMF41K/9LStaGRLySBYMaYjHJqzT6Sh/Nv
OUQyNARYdvij+c+msg62Um1n5t99/Go4eXPjyEZuYjLFDgWzZngPl+7iGESZrwuFV/M6V4KeNEqz
bM6BX3QVCG2t86/sSI9fkrTR70eHJS5wRcflGhJGlO5UI8d1QTbMj/eVVsfjIZPYor6JwQ6+OYYj
t10LDDaNQlI5dLKEuMUaDLlKLT1iiM0zEPGyvqoUBVQ79LX/yoMfps0ld/DrlevURc3/XL1H9AH8
VSlcfvyPpcv5j4lCS45AJ9bwkaT9dGuhKUzFhknLOX2aPyxdLFsLZYLyO5WBBWvh70qh+R+bMC+3
nUUi/7gG/YtrC7/nR50QLykYAsfU+X1MlX5auGp9yWEKGQA4CvBW4gD7p2m5KX5cHFmzUcCBoeEc
BYRqf6TkPmuRGVU/TplO4yVI5B4mobMZdT2uNzIbwRUQImP8NzXbGTjYWigld3Wtta07vS2p97Vb
R5xlLZ2GxcKvzrjP7YpDmCGqsxAKdgiz6abAU0uNvZ/DxbooB7XcJdj18Gyb6nZk3dySadLXA0P9
bR0ScWqKAYKtQADIe3Edy3wZQGe48TCwbyPkEn1B18TKNs9oLL/L6zn8Die83xhaRMUmjd8ct510
MnXypin/a62VZqatQzNTjTsarxLanKuxumlHnkWENWxWNFL1Y/hslNoxpJLBxd0NjNsBq9tX216K
09AJTEytcunC/tFKjHsIynd1Mp+CvH8UVkZ/jaioyInMUwUpjKjWKUT415jP7DleRewQ4jjATLNV
zLR9UHA6ZydRsSbOxXSoLfWljGOsS6kUnKOrqzoS8c7Jw1M3qu80FhANKTEumj5GETvVvoVpgdnH
cdZTIRBvqX6k5hUGUDuO1jY3/PlYTeWx95XtmCW7ViEnQUdB7UUGnOy5RBWOzhnExLVPxZIbhOV2
nuu9X0e3oVWl2zin3gO7276eiZsElFLlzQivNszuQOMfQwO0loLZ7MvUJ81qqiE0q7rYjCUfVQjU
a5ONjKUxx+Lh78eyOg8mHHYNwxUeGhv2kt1jeIytO8ucqGsbTaIVOQe73Hd0L/Mp/1Gn9lyJfrHb
1/s+GadtkarfTNF91WhU2tapyI6GwyzHDfG/35S5TZh7NCMLmATXaKkpBwcO6BZ98EuihNS3KJdW
kw8tEMo0xKBvc4r2ExugmXbi7nTT5xxUY92La3/daAp4b/RhuOBbe2h1bKm88FZOxEXtn7TloF9a
gYfO9crx4FyoLbVvMLspOb6e+aW9lp/B0ruzSTSyVN70BlFdGfeFOZ8MX9k58nH0Xwt7Pkho9BsL
R3ItrYcKxSHsx3ciGGAv7fZoZsnJ0qfrwAfOZ0DZcpEBXrhwvBjc4b160E6UJ9EaYl5V4Q7bbLgK
587gXFxtZKjc22PzYCY9GjedoFYYXJs9gUyGoOxDfXRsaUDF54cTuNceSyW8t+3sgViqO+fDRgbl
d12Oh8pRDuOIcbqJxQHi6TYFs+TasgHIr3V7szPbW3OID/x9RwsWt9GRz5wMupedoobRZZTxBY07
2Y1Kpr+QhZfPjV0gOo7T5D+A5khuR/L77jhStwdCG89p1JJtUBIMYjjYV8w5ubjp5F8Hvhannv64
CyU0Clpj3fvNqivF8g0jhFa4lUPiyK58+52+ssALLfGoNLpY9424+Lj4aIgnfNOaDjUyoZFQKwZq
i/A4zWpEi1oVI4JRDZUXYL12NS0+9gU9cmUywCUH0dKXDfdGx3wW4i7mnfeqTpk9uZAKbSMVZ5+k
53qcy4gioOLdZHzNdXwK+co5vEfWvYovkddxSrbBFJzijIa4KfFvkrZ470ZnFfuoIDFiFNbtO26a
L4ZRvjZdwukv3vVx+53x+FVqUSQcAMVzuTi/6HG3ITX2WkyUDdsNhYPaElajV8Vtm9x2YzmdGp82
HqoB4lSu40r/CiFp3JaV5cV5/0JL4dYiHuPOhOma1tyUNW9zMjBTkk8wYx6tLidSB+zbGeO7MZ1O
uTPs2oowrDLET0E47aOBr+iISc3PQJfgt6Ty77Zt5yurES9jaF2K2FzZZk9sjoqfoThEcu43vemw
WFDBwLuxzikjgBOAeyYWW9qKLQ7T0Bbh4u2DZgSwa2BDiS1xp828a02qwZTJ5T1izqE1BOOVSKVC
ITxWPo2+CjJfFM3troiDJwt/pWuo9c7KjDXLDd0I49nI+euzUJ7sTu7qJDiQ1npxyt7zcQuWdkKJ
GsIGXRFNQ8Qh00Fl2opnDdGuS8kK4nV/U9vkwGvtRfPInV53DmY33TTALSGzNIdYVXa1JV59FYjE
BBy37e98U3q2bc2bZqTjJyN5pJrjd18dLHea81eVDB/tRdGZcs9t5Vf3Wd7OXpIXO4IRFZm+bDpp
mkHhjX6CE/gq/OKoAhklgVG0mzxTNbcwzeEaA2Xo2jXR8cSun4G2BRtFta/onyk4uVbVMkVAbg/H
bGMJ8SVKUe8wEynPQyn4vHB/WE+0GLkGhXJfiW5ITzeykO61ST8PYfMv/UYcQRycJbrgFALN5C+O
My2xqKfIfeUSxw9IoYnzblrbT0fA699mq5/59T85F/7yEMtJ69PEdeJTLJKOh1ArykrlVVdeYT36
9WP8ONVdTlLLnwE5gLMhmR6DA+Pnx9D1bmJWEQVXKg5+W1JyfxrHe3IXv36Yn1wfHw/DZBubtyHA
4f6MyA+KmPxC0gdXHdCLKuZOQZZVqR4683roNVTJmuHpbx7R/4og5q+vEu1bDhHkrWv+eotYfvL3
W4Su0swjaPle+F6/SRmfbhEm/6TjDPuQRhhw/C6A2P8BIoCkTiWxriNyfJp9SAQVhI+Pz5MjmZD8
GwHEMH78yOA34JZCVbFNZR5XE1PlqX/+ZLJwGUk9psVVxyhxPqNQWPGFjHUMzrTN0muY3T1j2NS6
WGV13S3ugyAc1rWeAd1F0M607FTp9Us6FYe0yW9p7vFaBTiuEftn27LO5Vgw1JfDNjB64qpNgp9v
eIIu882JCAkVIGVpRhXFjRXMGy0DJRpSct+xg3kkQFwjBZvS0u8xMrnxaqPPtXedI8TYD3QBD0Fv
a3sVmkR04PzTMkLUFM5iag+NzM1KI+ZMpKgGsdy+3MtIZttKOgeR2rN5b0AVjlw/G6jFcJwgNE91
HDUv8eDnXtcbmb7puz6eV20XHyVkhniVOlZDQKuGq+w0dh2jbsueb1oNnH6d4cqEEDGM7x2oezzz
+ZOkSYK1dABs7tTbMhIUZAC3l0M13sR2OiCqF9BnVHRw9lZKbCNcU4jKoWOsC79/0FX/UannfSuV
2x52aU43sDnlHgL9aRwsmskFAfNSrOpUv6VL561UimPaSYWwd3emLgi+OsESojywOhzttu+UvdD0
de5XF3s5wBl0TCjDTovawyCyHfe0E3SzS6aPl66o39WpuXUA5uixeEicngMT1nktuBJhj/sgLe/S
kqLNPAIOom4Hq7mtW6ZA47AHWP+ULZcVx35z7OZAaTECbGboSDPfcypfzVRcjKFbD+ApwCKTuWrO
ftRcIwa/1HQuLeGeUtHWuQwvc5GRY5pcx5ovBNl2zag/zUNx7knGmFl+4b1clfGwccLwEiOFN4Zz
nA2S0G17iK14Wwr1VbfiDXSUc0l+OCiIAyxvfSDhq9Y4YTJta4vxpPVN63aOeulIz05VfKmFflNN
w6qdlQcrNPbkw3mHu8LjzrlvcEfYhC4cv/rmmM2qz9MnQiMPUIFuuUds/NI6oSJs9C67qHGfIiFq
p8Hk/M6TILWmsXtrJ7+fD7bUVnXYngKpbZRoPA5juC8aGp+4hXyrpX5Lm+ttjVrv+kFv3UiLq64Y
wgv1k2D29eyqTtV4nyHXL7D9YgHU9rxe1lhdYa0/DRofqQ6MSNo3CgzWofTKxvk6BeOFKIpnZsYJ
zPDNWLXCG0tox9wzPaOqXqkv5uNnCK8sGcJVBI4Uw3+l8vs84HjYQH66p0VgbSiGdBMTMLgOkoqQ
FAkJIyOep4T1uCp7JV/roXb2TfPWrDnZK2aGpj/yjtNDeB2XyrYxMw+farErw0RBn5Txphq1cxt3
W0gmK4sDkTpgV+HTwbul6zTMdM115YfTKjebI5gAwFFTQzlmdGX6ycmomKYYAwbl6lLqcPtAaH3h
ns+bMSsedoPBIzbPi9WKGyu190UbGx6yASFOcImuP1MloDAhLVQdSysULhe29AlgIT6JlsufXjy3
EnMLFpge2vl86TTjTF/TV2FgP1FsfUcShkNqRP9wHve3ItcfkUMOClFxW+nSTUqudKVGwxmSxeT2
JisAl9Vy5ZRU+OmV37mEQ6tN3E2nogLWBdr9Kkmqh17A/Kbj4D4Q2JhCLUIjZlbHkRSLF6jwCtiY
UcdYwLIcx/lSK2Epw2km0XjktpOsPs4b/937l23y1zLi+Y2p1F+3/uUH/9j66etjVxUCd8PCceSf
/tj6dcwNGjMH6TBm/GH2ISFJ2fqSyf69y+APAZGt/6P9iDOko+FS/Fdb/18ERMgrOv4JqKgkBvSf
Jx9NN3RVJqbhSi2ua0J3Uyz/3WmU9BAHHvqgAJwuJv7lVPT5aCEGmRgdeL6rxoy51D0q6pVj3bCA
az7H0QvugU9vwt8c5PVl0PRJFF0M7z8+4nLY+XSU10e7jrihdFdxyYmBWDU2gAmUUOYWQdHcDHVh
H/oWe5RILN9txEbEU4X/bfStdZu13H+DXLyO9DPuxVL1OVWl6WlNYbiGHZ6sIn3MbT1ZlbX6tVeS
70C6nhcvb6ER1JLYBzEJ1CxJEx16hh7a65rbE2GcKNiZidg2xDU3FhSdTYBAuvWnMV9FIwlbWSPK
0NxSuz6YGWWwV2UX3dp9f4TBQ81A1J+Uyuddgk+V+XREVQzGzYn1Rww3Pp5HzjjGrii0awqIXUZu
+1ztEBni4Fg4mtsZykOtcCPv89d+Nq5HGe56jGJrrW22UWuyAdsHeOqjGwpoKgi5QEbC6Vx0cr6T
LcMp5lFMY+6KKhTQPegR0/JqV4lQaW/m0uT/6LJ6LK7SwDy1SMmXPJuZJjVcUNF7q3eYtidBxw4L
/6mU0X5M6Ntx/IuiJpdpFk9aiilymXTQCU/nGpFYOp6/pqCu1oNlnsfShABieH1Snlp/IHQ37Scj
ulbnivYA7tjjdBqm8UQkrvDaOVNXgTUcm159IhuL2AjWNMvnByvFKOtnE5n8Lr/OkxZ3H7Uxc0In
biLdkWMCqzsJg2qksbzpE5WseLpuYvlQtRMRFEUNNnpWYpLphnabgpnHDFdNJ46+WCNsne3nq6MM
V2Zo3zYdQ3aN5iM3DOuNVmYHP42uu1y5G/qc1ChvSzGmaxs8oszar2BsAVKL+EYHT+J01C0SFfG4
F3sQam8gZHOVw2wiBnM71P1GhcrWch3PNNUriuJuzs3rzK+q1TA26Fdp0t+OU3grlmpADDp2aT+b
UFhGTg73paoYqziqv+dGz6fJ2eJOApOGqQgSHfJo/00dgmPeCa8ytXjFCrbXs5hKa9pFhEKNgh9c
h1F/Nq0Yf16GJ8ZapzJfdaMPcBF2AO6MBqaQ1SgXrsXstsqer+3NZAet60eE6Wmr21SO8WjWzUrn
G7KqknxYAqfTLhlwxtZpvimjgLP/pBySZr5nEgeJIW0vUV3cxb3qxTG32c6nX6mz9Teni99iaZ+L
KuVeEOMhHpp6cv0GQJPl9/buv5vex+zMJO3wy02vffsf961+f6vf/rrxLT/8+8YHC4wtxZTQtp3/
N9n/Y+NT/8ONV3VAckNEYf79553X+g/6FCASWyxuetIkf07OwHELzPAfNWJM6YHa/v9MzhyM+mQY
0UkAbouftRgj1JShRQy/hGARmss4vnx6Wf5mGzKXaqNP2xAbHvdyE0SaQejTYUH/aTbX+Y3Z+tbY
XbrZWut6+X0qzUvqx7cwRL/jvgHaVEdeZhqVpyn5Hmv6rq5i/C/AWYUiYEgMxjaX9U5p1Pu4Czdm
U35VUk57unPqLA7VdGQM7hymV9R6W5x3+7ai6gQAB75FWkMDXsSVxWlwwjc4zQ1YJms/LurcYKlA
VBfBjqZc6ZmLilfpqY/tEGXPBNICzhC1L150Pycxv3SLEshoJFjha6uOtK1jadfsK1lKZZ0iIWJd
MNYYL4goLPpiPEKwNhbNUVvUx6nOqeeNXhNkSTDo3LPRKbm1V7sU6RLr+wwDt7r3ETVpdj/bYWCw
GOWvyqJ7agigWaJctYsi2mTzvOmAkQRleyfjzFUQTw3qXhPEVEhJh3ZRVy1k1jGxD5ilcjeYa7qD
AYZJ+eZr/YBPK94F1Lp3SfTWLtptI01OyPYOVPeVgrhr5VApfP0F1MfBQfzFM3wyFzW41vtzCo1M
IBPXZbUTi25cmM5jvCjJc5Je14u23CAy0/b7UlZ6C/IjPpiKed8uejTF8xzNZ/MuWrTqcFGtO+Tr
adGxrUXR9pG2Kd6BtbA07yJ6D4jfvBfcUnLml2GQH+AprADVPJlAXgaEc4GAziZ7xWDxNlyU9Q6J
XZr9OURyL6YBunH8FPYT+x+ifNoPp1BP78Si1rdx+qQj32vI+MLvNgWyvj1bG2WsXwFyIhe0zlYx
mhfwWx5m6RGf1/wVy+kah98KO6NnJOOpHGLb7SowG6gS/NKPCQO0kICRA9+CTRzFL4GPk2Vs2nij
cBSUZfV9Ylxh46ozGV90tfqiMM5oJCUzCQOOnkGHaqXv8zL4WCYgIaOQJF7S/st0xFTkfci4pCo7
5iYRRjI1y94dDTOMskxXbLqOzsy18kMUidlTSq33mAvEDGW6ZTqj6DUWmWViM8fDncoIR+mY5ejL
VMeq6N1l2ns7LhOfbpn9YI1fLKRGw8yYyZBuRv56YFgUtEyNIsZH6jJHcpaJEuSyfh1+jJn6j5FT
9jF+yiYFQFsc9dFlXOZTFccMz+GloD2pDFb1b3OsIvTMUNZoC4q6bme8jfky+SpswV0362ieFwuR
ZdJxI9XHth2vSrNksN5Rm6UZBHQ0vWp2DE7jdRB1J0CubMJJmW81IKP+ODvU6OpsmWZarou2KsB0
RumVTNUUZonS3Mz9QgTyyy/WPD3WvvEmk2rH+kbDn5YB3kOpnlLl5CdglLSUgXgiLHr30oKJr0X8
g5Gqnz51cFaGvgZap4srE2mElWVVx6YHXaDzijI/ykqyIGo8aTnc5B0VWSXSFGvUIaAuKTWqddwz
gEceT5nhh1Z4VlP1iTQjWR/1MDh+us3H5NWMfQvzarsabF8cNQA7rm9G8r0cFH2F4xr2klkN2X2i
ZcOGuputgaF4ZcwUU4f2zMAsiurzbCcXQ8dwQN2xVgnA21DdRsgd4CksjyVvr2t+tw4MUe/TqX/A
4XCf6RlnXbdLvQYOzHoa2oyWK6qEB1UUr/lSijVGynfyQiSXuprxM+KUV5fCvOIKzt1gSiTVOXHY
bwF3TFuW/vDJr3gEmPz3OaEpDxu9c+imOkY0Cy45Qe9VKg17j68qdM1C3ltVgbJvxsicmU4D1WT6
PsnO6l74072dW/NSr0zTd0f2xOoCnAnDuGmZYm5Ltc+3xVQVK8orK7BHVvdcR6m9Ge0pmleUuIXs
SmG7M3vUC4jBG8POam/KipdFPs2HaDPKCTdqcaVO8pBU04Maxus+AsAEWOqhS/V7u6uc4ziN/b5Q
4tor/HTiNkN0qVTVF0M4BvqgWT13otS8soBkl4R80CU8Jqq8jGd9dNo7X7fGjd3hfIo7OIi/3p7/
Mu4xOGFoHDUcaTnQIH6+I2YZPRxBnF9ayrmtcd5bXKKGutn8+mEIIXw+BDDy+Xgcrr5c6Ay+9j8f
Alq58BlDxNQ0PWP1f2BVurZBMbFc1u4wObwBU7rrgZyldrJr9PAUQvm19fzISnWyyHfFTnKDifxW
VOraCLtV57QuXppvRSe4m/IVMGf7ItSA49of57q/OcD87TOHOyc107SIKDN8+HyLtrKuiFonyS9D
RsZ6AjaVrcLi9OsH+UBY/xl0XEZi8rfRHqFxRh3yp/eBuTV9f0nXX8oAHihpgD2GARPTCw1aUJys
BeDzrJRpcUM2HzOLuh/swXSLibidb1DNEWfco+bupgsN5w6deNUVPVdKbDRmMbCVYy13rSK4REp0
4ILPa67zvREZE7gJKfnW0tK3pE0JngXRdh4YqzeaWIcU2q2T1vii4Du0aDpdsSoJd8IbuSoqYxuH
deKyFXG0CcW+mvVvkUnLuATyaKkwZ2V6nmZJQamclJ2qDfFZDcvMnccOjrTWRnSMI7RoUfDod1p2
Xw0YRRwtANJVcokUZbsT2rDuC7Y4jSAaqkyyLlX9iuQpgMuZK6xmpCdffevMTWfJPevii61AxpSD
tpti8yWFmrTOy3x2S5INBr6I2eToMfI18+jbKzyMFru6BX6WaSMJyf4tifTwC5rFVhVV5sk0PKPj
0rLWVJvIINVAyuA2A2R6cTrutGIej5Vszr/+OBCu/vn7wueBLyTWXkZS0Dl+UotIqBc5/9ZepKa/
GU6TedSupxeh0FjGevoaNGQUiDesNDECYk1rlxX1zKtCr16YyJ0eNGdii+4w62ersJ8NMw83TWZV
m65TQWhbINUCygrd3u7ttVqY2Y5eWtiz1KZ4dk0OBeX4Vs0KRBmruguyaFxpYYPbZaBivC0rN0eR
Fdn8pS7Em0PEGx9PIVd1pj8IHcZug5nNoEZTFAQuGREB9BnEc4waM/j6V0gtS/Mgy4CT7kQ+3vtO
fJJQbavCIFo78Qkp3W7S76y+PydxeEctwm0mHbCp7bOdUBzIuVFd04vBWbDq4W9D57YXxLkRK56K
cORpQnlT+EysSsd40QzlWQtJAlctffYhuK5+VsiOjgXAvXqrMjBwaCXQC9BgYe+ZSauubHs4yjrm
JWG8oyFHA0e9NxYzrD1C5J7ejEH9Uhn1Wy7F2pp4ntTx0OtxRcTuJHOxGQrTC2UUr6JcwpmKbpIS
l9hkz+uigUmXEg0sOdAUIuBewpexV5yboWq/Eyn0KbshgNnFm7alEpCOIU+nKVrTxEk0xhbYDO+S
BqqdXjjMMpxQky48KZq/TrThqShAtinRtRWa2NWKjZ4oRwxsXjgguGtgGctmA749d/Ymgp7Grpn6
w6ZleycWWXodfSFemihbakiOM6Aj6eCkHjSMaw05T1CI2iZm3GMN9rVvazvgXMdgqE7QvDj1tqly
lZZDuZtSeTCD4VjqRB6tAkSYUULVHFRaNEvkr4ZbQiogZmVrtDVCW8O1sNYyIThrX2hhFdOmMHe+
7J8QaWhBVc/Cohhz9M1THA4U9/m+f+z0Xq4aS9MglPn5duhnr+TcsCumtvEmgWGl5xQiixaTNY7o
Hh7cP2xt//BN/RmSoIfOFDtl0qGioik2Z4B3q7FfbEVXSX3WuLH8em34MZ/3207xaWVYqOOf9yM9
pBU8z1gZiuIbEdd+ZB4GAPp5MH9Tdv5vLtCy5/y8JzGpN3VJuFDSv/DjIw0NMdNY7UfisxNc/mhs
VpGv31sEl/dhofCZG/tjWVKwQJWldrYr23JFXNADHlNXMPB7V5gDvzNlvxlzAyun0T0qUXFVqPIu
5fjGrYd2Wf1uxLXk5W2wydroNad7UKFM5zbo8OJZ5Fq2mdUtZjmXg8V60ghWc8Tb5q0hn7AS3ZUz
SDDDOnRGu48MnRrzaW+VztWQABNj25YKsSg958ukuEpor8ZSe8rAfUepvx9KDaIwzbqtlb3N6mSt
0iF4qUanftIDn3r0xgj+4VX9SZT/2Og/v6iLN+aTKJ8IzJ21b48Xe3wN5/fJ/gdI2T/9/p82DlVh
Ki+CZCLzeEewnYDFw68/f385D7EzffoDPmzSn/6ATGSJmujBdLH068ik16Jdq0wef/0gf3UILQ9C
ZSRHUs1i+vPjqzTKBveUyV/h6Cu9/dIOGWeSh2iU//Bu6D9+xhdxyjLwlmhLfR1HU+2nB5riKB/w
+OoXjjFf2NS8+3Tje8q6d6PVk5u7T3ux6k/vt9EqfBzXb9i93vlGNztj/+s/WF88Tz9/2T59rT+e
6KeX1aE4jgIhlpF203vqSl2Pd902uyF/unZWKaL5ltd5w2TcxRCxdhgQr81L/uXXz8L6u2fx6c21
fgr/ppD8bP1/2TuP5biRNsq+y+zRAW8WswFQnqyiESVSGwRFkfDeJfD0c1Lt1PwVUnTMtncdYpNF
VgGJz9x7bsf7/igO+sbxh6134/isrPwk3H2ygisgoTvvnGzFvrq39h+iEBvonnPPX3fAg/uQ0Vno
hcrVuK92/QUYJHS/8GPtj2c1WHbWwTvUp3nfPZTb+5//6u+3Xf9zY72roBW9T4sGQOyZIA4feuZr
s20+aCHhbyEI8DDdVNvyWO9uXq4248EKaNizI7Fzx+wcBzx8Nnbuf42Cjz//rfR/Dj9/P62/e0O/
xYZ997GSPgvjxua3Sg6enwTrvtxFHypWKyAXfNQ4fhcgzd2553avf2aQtvn56//4Zv37Pnp32nDU
KAshS+KsrvXGmefTCoR5IhLqFw8leaq8v3q/v1/fnToIP4xpWovlTE3tT/OLKvaz/WUxNq06MIra
/vyv+vEZ99df9b6ZVBB7GlabjeeE6Jklumvi2/+/F3jX8xkCQold0kDl1knPmAN6v9oG/+KDceSN
+N11oZSNWzkLN1pNvnSZbxsdy6z7i0/lV+/Tu8Ot14oeLGc2nIX8VNYiQJUc/Pyd+tXf8e4CG+u1
H6u+XM7zJILUJv0Orml58/MX+cXV5bw7lewoVhaGczwNhB2YHul5xUD0xxg4xNpns36eoLn9/CV/
+HchN3GIiTKIFHz3kiCxjKhJh/Fslm8yL84gN8Xe/fw1fvjxfPca726aIvZ6pU1MccbDzPz+tix/
MVX41Qu8OxLXvBRGVrfTWeXQRu6eG8Uv3qZvz8ef3fjvruMkZekTFVzH9AY+yJYjvOxrWoTgiAZp
g/TWL08/f9ekCe2nZ438q7+7dTBJGmCgE55RjwyGK05Vskp9MIjPmFMOk3+zBg1f8K1NGRD2cav4
d8NGPtVvntobgxgYH6rMZhn8fRUku1/9ej98kH9/FL6/ctJuVrWIm067yAc5ETq7wjxUWuDnOzP8
VPlH1V9ObziVYFk9LKfZn39xeunyePrZh/Luc5+UHjCct1BLhFNIZgzkd9v3TkV4B2TpytiN4ZO+
jfyKie0WIebu16zFX/0KjnwufvchKdjPzWpuhjMudF+ETDazr9ZWC53T+Cr2zaa8cnYEtL/FT0Yg
dvkFV/rrL66THz96/35KvLtOcjSrZl9xaXZbsSWu109lVXfIgw/TQRwOqSxazjBwPqnbOiy3zc65
Gf0uHDfJAVrF5+IXJ+W3xux/PpW/b3fr3VviKh67oYojpd2YO3sHgFpsMdRdpSfNf4GcviVZ6NDs
GepdicB52LhUB9Vm2OXb+zSURcIfxcF/ejW5R/9rxBs+s6h/hV87LOfn8vX//h8M+/xLQL7X8w8W
93zrn4t7sg/xumqS4vln7PVfi3udL7HVdg2Lrf4/4HhEzrrwYJGSmw6sT0k2/dPyamN5xSDLuh+J
B5GG/yoW8QeLdcTqBN+6pmFZvJrkAnx/jzlarBVFZ9UAnNmt6DIhWpthHgvB9lEXscaoLd8WBuD9
ssJrj0XyqfScI242aPUDJsH67GDfzizlsirRRmUHExSZU1+BVK8vqGI+Lqr56HqNGro9ElpXGTbT
kn+wuwgk3sBMNY+ZQtaZcyti6Bag0mUGRgFTEMerhYlVE+oZqtoUeqs57RKCNIKcdC+/UocE5B6L
uIwNpBYvoebGmzUip4wcs3o/2nNJrq0JkkaOfRe8qrbXM8ESgwinSX2YtCF0smUz68x5Bs9kRqaS
72R11ovN3xk0JT+39YiUIBAQvayAXRlV2YuXeu5micC6jyWusGLB7ViZ0aFoEPUAiN3UFbg+VSpE
LakVjaRqNJL6URMhaSoVpYrUlqI+u5BhGljZgp52JeTUHj/gkGU9hTBVOpEbqVQ1jPnKFBCBDKli
RQY7hpVUts5S4+qRqeLn7XhNcAv4wKUm429iL9VZRwuJLMGEd16G6xWDmsXcVds7Uk+7IKydENjG
1XpepeJ2lNpb8jceC8S40VhLellzhTcBsp1U7NJUBorU8NZSzdtLXW8jFb6Fbh8yJL+51P4aUgWs
r/GmlbrgWalfWqkU1tUe/Mu8MZEQ14T6lkiKURSeDKkx5ng9tRPXTCTlx6lNYotUJKv4BDem1Chg
tuwRLbetce1YSb6FeIDiWiqbc41RKVLnLlNucql9XnNgNZbUQ4+ufYcD6hqvdb3pFspKU6qn9W86
aqmoLqS2OstVB3cB9tO4hzeA/nrKquvYjD4vUpldKC7pOmi1rUH9aCLezgxSHrQiQ8iOrttF4B3j
B9UQfK8Iv1sE4J1UgpdSEx719oG4Ks1fkYsPY39JmWErJFI5xfq6iILgilLKQZqPyLFbgjGAzQGX
u65Y4hyzwXuqc/VusLqvbrMEXVv5zRpvkVKiM5+P3qBsO1U/1UVyTuv6KLL+TJrBzVRh4WSyPyKl
G+eDHVlv2HBHRJSzYe7SkTmob1bTeq/b63XcIkrU2FBuYylUnA2b1yWys+h2s5QyokrYz2gbO+up
l1LHcvQeKkR27FBPnUwPIzaFIHbDj0kMG1cE2lMKS9gabznsGNSTgQdWDm8gdXWE1tLohytsO5i2
8dnWqDEdzQmiJb5fG0QCthRsJlK6qXdw5szSqXZerKFdlBJPg7qZnVK8b6X8U5dCUGKFMZGPXDlV
o6EJl4LRkq7BRUHqmNVbjaK0lNJSE43pWrEO0sBiCik/taQQVe0ix3ey5gtb0egKHuh1KiB2Lap6
U9YlN4PTapfZKF4N+JUbdZ1fx55dSGmLO2Ne0MlU02dkH9vWVB+X1CHks92yYmHdi9gV82Vv7sQY
f6rgWIT5jPzOXXZTVGPO7268tDipdrZdpQLRakm3BjoUEna9rwFgHh3FenDHKOSV2dJ75gdNtXRW
93UfrqywNo3IxKZV9GvBbXDj1N4dWtK9KMw0qAqmxk6h+7rMcUqJBfctR4Zi480Y8t5Ewd4+Jy0E
rGFhnG0XxQZWyFvsvaQAnvrBuMt5T3gOaIEeV+Q2F+4NoXlkgpBKG03sTJoIUcW0zmkwT9kuaRHt
pFmBKHiAusiPc11YQZaMubDic5LpOQiPdDqZilZt+ECXvcXuS1TMW8sGkEudauHoVntPoCRAbhof
RA30SYHYAbIL6AMbE+ez2q/pgeOYlAeTsFZCPZSkvdfTaGcDZwrixB6hnCFt8eL+ha0+LDQ2HJ3l
AEdpW0p7dpWoxsjjEFem2meBYrS7EdqllTdnfMbFodHmSzyIO3WpN2zNF6yazqluvT2EyBl9zDJu
51F/zb1RIHFybvGyZpu1WI3fK7z/6ikUhj+rp9JXYox+UErxXX+VUpJ5qJHUgmcXJaBHlfVXKaX9
Rq2kf5MFkPsmFQh/+v6IkXZAHlJkoYQw/kEP8X7jhyDYl3oCDJ7UPv9CA4nW8h8dE2Ng5I9sOBzK
OcSQ3vslzmokZaLXqXoBY8LNUq4gPLTPdfwVINoKDdHvYKGlEoqWzp5+NTf8e6c7Fxty2tg2hJbF
dwVENeh60BhArPV58liRC9NyaxqVe91IGFvvPJH6iuIKStsKrW2wnB5gBBJhPR4fGlF9ADRMjIRH
YHxLKGZIrthTBP+NXLyTtWSbEi7cmqCNhhOnmwo2GchxicXdKVFy+Zrue2wMfgZlToud/Syxc+wy
pcb9KSurhxUunQefDn1pSaqd/qbM1acWgh3SINzwMO06T9muMO5SDxE4f9mu8XD+zB64WexBvhG5
rANh5A0pDwNlcXGWk14HRa/rJ9df4Oq1sy4oMBbnQMQTUMjIPGUqWfLZrOwhiCN2Yv+xHxUgFSZD
5m/sPvtubsa7Bc7pQwHdr5CYP7t1jzHcP7W0Tq5kDTWquCYOlJy0GLGlBS1wmJQsEPADTTiCtsdE
tYUsuGhf4WN8juENLhShiBVAEK7ujDSS9X1BMVJAKTQkrhB/8sM38tSsgjJUUGIPEm64SMyhKpZ9
BveQNfCmgYM49rxncQwacf4dk5gDUunOgxi0ZBM5Wb0bLB7GcCJS1tdmow6H2qWoHWROOeRq8AZt
rXYovlKTTWTfG4P3XEwt9sDB0ofQzrGf+YIHlCktVYg8CpNDllM6aEzvuhzblj298VIlXYs4yNRD
wyTHG0M7/zXDe1j7F7SLPCby9s3Frc5klHIH84HvaAsqWAth0dosJ8dwzkqiu8GgN/wMmFqkkz4W
wnyqXAF2U0z3zZgnAbjENDRb62vW9G/6Il7XAR355BQfY8DhlLbGNctBKlh4O12lpJtsHgyiuqcb
ATEwNLx8bybdk5tbw9ZQzGJjRe7TMvBUaUw4LLYzf8UmgNQdkyhXzuCFWIzdQMVVeF3Eyjl+Kqaw
iuNjJbKvpuhDq+R6oaa08vVkV9Uuq5vbycgAHkD1bEx21DYYY4AlvmPi0ohV+1PUkNVo8S8ua/F4
bW/TqAgWk4S5uX+qLAuk74JJFJjZmob8KPJLnTxU8HL4SDx8RUkQwnWCMNgZ+QhIlrtxqeNDniSn
1a7Oa9cQidS84U/uIDlOnbptl7x7+Xac/vdcMRlc/bJP78b1B88WvvOvZ4v2mwWrzMJYTmf9z1BR
/TeDgArYVIg9pbn872eLA2kXjzS6K3pnuXj7R5vOE0HHZ+qodN3/zliG0uX9s8VV0dBxw/FwIZro
PcOeFG0UHq4rw7DTegujukM/XehhIapPaWe4GyBSGmyCDvEpacg8b4ZDa2lvEw2XX5flfJyLgUz7
BIXeoI77mCAwBA9ojjusWHWFSGSMi03mZF/mqIM5OyGinioMs8VAarADAogVzOLdoIB/sDry99rZ
wA8LkYkFxEMcDzXmy09RZnygvasujhYRWCzoXsfUiTkHtfRYFggzTfDxOdmddHkEdVBRaUo3bmOd
Iqui2sL4d8oasWxVUREQJu5ogIFtU6BBiDpPVGygnnaWLOEmarnS6e6Bl+KmWurrXpZ78WDsctVL
QHT2L4ssCes4njaOLBMN6sU4be9Nb9kmspDkjvP7rksPEzWmpiVOMIuZRUAbkqwqcwhlTSrKPUlw
BAajjgmLjtWktd5F3ypZWdM6srot0hUyKAUvMO2jJyvgjFJ4pSTOZG2cyiqZUnc3y7q5lRW0Imtp
TVbV40peJGW2Iett1E5oUyVLhlI847lf919JvXpz+HGjrNhTWbsnWv+cjJUZ9LKuNynwM1npA/7B
KGATdy67AI5+UpFoDFwaBHhi9U1batet7B1U2UWksp8gf0Hfrbr+wZS9Rj55oUvz0cguhB57n8u+
xKZBUWWnAll+G9G69PVwQ1pyOBTqrqC1qWWPo1npJ092PZXsfyLZCXm0RCut0dIujzqtEq3nZ1P2
TqUx3dEkU4PQVvHKYiNotCbZcVWy92q1BdcD3VhEW+bJ/mwyui+a7NjweuiHVHoKE6V0Nq0DyHCz
VD3PtRXJLh7ELpuaczwpZG1Kh6L4ZlZ0vhkXjaYlZ9F2aard+ThZBqheZ9s1Yi/BgYtlzKERdU+e
OScB8nsshg0vgSCMZ9m+m1kUjRZvsRtHO6VM1gejqTXf1LGzG41z77b2adCW1yJp8xDMyh2Bq/HJ
XqfNWgLATeZQ8zL2TjYyY1R3X7O18Q5D7XwVjkMQrrvydJo8EhS1/hZBOW9xdx1h9AuBEDXH2mFY
gqqLiAJ4ZzUG/Sh2R18TC99BfKiPBmFBUhW9FU10gzB6xIY+qJcpGcHIjzzqo7U4tXqlblbVbvfx
iJYfKb8TVcc50wE/YtLIGnIKbXsYrhJTwdYyd9arqkb5h1o1G+wOLtAjrUgwrPz3dPrdAMYu6ydP
p+S5H37U9fBd3z2ZaHlsVmDgVL1vOPe/uh7jN8wQaH75CjoXqe/8o+sxtd80F7EVzysXadQ3nOIf
A2RT5aGFBvl3Rxjf/q9Q79a3rubvjYTsekzZX/GEtIi+xgD9zwGyLl+8KYgQUjm3gHGj7NTM+SMQ
P9IgWuXSyKwx2vfrvKCm7xYiCJaYlIoVEvkkXJTXEsAENSKvigBmtRsuhtf4fczJ7Rp7txi39hBt
SqHtZ0Z1Jckk/oyTCiHXU28NAUhrJo94f3rBZMPJrpdhfAUasZkhfhB7zLBTazj2zBcbAGK8eCky
XPgpSlqO+6zp9p3nnXp4cADgt6tOzAJqX1+zpitbrx8cXNWzjlB86cx0l6z6c0F9BkDyMVGJonSi
aARuiO2gQ/NMKwCCzrT7oyXwF7lRcxp02HMGUZlJdg8uvgkE01xipsVtpRG31bvNFkoIbGp+uRPB
bXgt3Jkbs9Iqn/Pt4hnFVz2FFrjoaHXTmBGWskQfuqLmNh9FqFYzSZ59dp2bog7TWM831dQUQdI4
VuCIekED6m5osujwBgiDBMsxVFSOZQuQxa1vEyIe/Mr1jhp2FR+t8DVh3h9aJoisAm6xUiubUYLf
YC3t1NV90xQJItSrW5GwHzBd7ynLNDgpDedShHR3LIwyWGzjw1qmT3nVhnPBeZ66NIJGml6xfzhl
rfpGi2vvMZSZoZ6OyybpbUTYkXE7DsmnJOP3j0HngOmFYms3JpN8UHBNZZibsh9f6yw/IPwM55i0
khRjyjJozN1TXkcVPR2LV1HRJI/RUt6JjrCX2m1woBjjLo7RerQVcPQBvXo4Z3xfQQvFLCo3d2U9
Xurahb0W8bn3jMA10WKGap60Mb0asvSqS730oODVCyybB6Opo5T2+kWHNGHA3xiaXWTU5yrxrpAa
O5QsPY65PoVVUj+1WZtu2wK19Jh2oTCrwKYj9hGbohorpn2rqTe63pOZPJeMtqNTF4+HvmoeRmXa
1X1FHG29NW0BbbxM+yDuJ29j2jOT0wJnjKtOj2ubvvaTDmZD7GBdLNDm2sKvbGkt4a9anJu6nYcA
6sy9mxfbQT227C6n60hJt4vqYW2rLppV3egTviFrvSgjxMNpmXa6LB1H8lAxTa8M+FkU2dQ3XKBp
FNgKnVGL27yu+KGISpsAi1XJdgK/c6lObzRWeShKg6ZVmo6NvP8iMuhmRFk7mRgxtbQZ03+P8N7K
OiQa7rg1Mpn16TjSfbfyMMopgnJVGAT+Eh+89RSXuTBcxVgkJDBEebYtJ/PraAHTG5P8a21Mj/Ch
X1ZnzpBJo+SPjflmGVmQZKk9BctgD8g/9AlH51jp3UmPi+HE2UPZ5jbMM0Xb6n5VDgerwqe9NQAe
Wg+k0rjuLoFusxvNpeFeaisNd4Lo1o07kpW0cSvFFH47YZLdm662YPkzCNM9K1W5jPeeWmrD/ex1
inEaxYiEzaqK5LFbTX265EOzr2OKvybDIF+bublNUyv2W3V91rr4ro8MIoRycTTNatx2Sid2rmKf
LEekIWs9E/+U/dLWdY/f3iY4JzMfc8XGmzXB/dTU1T4aNRdzXjF64X9HPWDVn5vIfE6yTg8HF/Mn
Xq43+PBMnJMan341w61UJ5mhizuWOOzrhXRzkXoIWRrl2qy6WyUaT6Vbf2bu/7ZigZ/FAoWedR0r
AYvwakMcgRVa6gzK0Gme07y+s9MIz6huJRuWm1RzA45BPTtHvXelZAtZ9vrbqqn8lNh6y6fyI+Dn
UFmPTA6y0LQAiMbdXS5Xk2qiArAMRXEqEudazQssgKJ+Rod5SAwD1iVZ5EGbEmvHxXi2nRyjqeXR
iSjKLQtbPZwda4VzMF4j2QUKIaKAd6HZOxW7lh6+6M4wJ852ggFQrjsEYgAVhJr3YcjD1Yo/6V2P
nhzXXJgo9FRu7s28eDeSaOTtjRVryypkfsecAgt1ITmUooFzVc9XjTvgSXInjECacyE8/JoJd4mk
OLp4MFv7sqc2G55tb142+pTfL3Q+VJB0Z5HHA8TKSLQfSTodGbuxfT1mSs7vOK6P2MTwNY+2yTWw
kouh6krQ1cNr73kPHNBbtSmu8jIh9Ds29mh6HoA57pTUEQGezAP93M3kNneeVX9JedD5NLZnUwWJ
anHfTew3d9GqdcQwdIdYmXgkDHPs6xb5l0meHzyLOd4UV0Hm6u2ut9I5SM0eH+14QyWyrfTh41Rq
ewLrKa1HPI/LaIpNrpbTRtXclk1YhJgj5qsOrQqDLOx8CgHeNruew8AbShZ6cVGbPvNdZziOFa1g
a7Mr6cUDvmcVLi8PQY4scE9rvFNm7VRUnh0sM7V1x512ijX9xtaIelL6hkToSi0Pq07YDBYADXxq
GwWZY2BmSG+SMYOsUmNtrVgzc8hxwFnzfi11bgnLvdE7HAKuZpQYU8RLVcefUBJe+sp5wRf0Imx1
2/T2Y53Hj3Xc2OFAbltUNo9q7e4Ns7uf4VrgMAEvu+SBWiRkf8/PMTOm0dFfvXw9EqR2Sy4DETmD
el+Z8hBXrC1nffLfskH7vexmfvKTsjvtyd6qxx+MhPi+7wpvYmUlQEEGFVqkEP69bjB+czREE3+s
FOTc58/CG0CRilNJpV5jlPSNxvB34U3+INsL0mpVqQVx/s26Qfum7vxn4c2cir2GpDfY/CrvCm+M
tBj+Oru+EZ3KDTaZs282Jnokc94nDicRwDLhj+rMQsKw1JNalBSVdurkh4JZ+GNK5Po1Yy/2WYbR
3mccHHtLjP15zqPmazNI43vBzDopnIXphQbPtoHFwhCJIvCm78rh0ma44xTVhkyAwdTFRagV4VpF
1TmPG++rqyR3rLqtS6xBh9aBHO5W1y4fBnexmMsyu5l1a7we+sQ54HuC2u+MSr7VrKX+iAkP0IvR
66+4oYtHSy2qfWz1zHebqH+eCJXcJKpLuk3nzTsnm7sTpPDmdqbBLsZ0YKcdN+E0a+Z0IUzenF7q
HhzhSauidcG7W+cjRu5hVF7N2MsSssuLsaWE7avu4iSUi06sieQ+yTxO+XnE2rtyCDnz2fWYxJH8
aDJA2tYFcOXKLyZc0qFFFZGebKWiXE7HYvmSTXpbbvTZIx0xEk/2XBjPRF5YNZYxu9qytGTPMNrL
/TDX67PU56CD0VMVHxTLhjTWvF3UTPEXrqQ0UKt1fY76ZH21U/HYKe22itOj4jDDKTVqmtnqmr3S
zJiTXW1cdjnuZI68YbnKa9EgYfBy5m1lDb87neMUG98AwhHlBYV13n4ynZQRm6c9GBzQ+0aB25qo
8+Rbbod9MuvtexfP5WFQiPBq1NY+C69VQ1YMnsqy2CLtu1dLqs/C+6I4s3KEMen4jSgvmaspYTdM
YjcpzPM2c9G2QyiitHlzlJrkpiaq7uh+e+qE1f4cc+6Fq+dkD4Ky7srJzOwagWv2BFWBZL9VwpXz
tX5aR6GcuHhJrHSq+QIkKnp013J+qLKOSVktgD6lorlJJnJuKozFRViZJh68vje1DZA80ut6YfVh
3PGECOLKsvf6xPGLDdgsjKMjZuOWKatLEGhta69N3azbVqJ2PM52f5ixKf03Avn9LEbO/ZOzuC6e
qx9Q30y+67uTmOE6vkQH5/S7xa/+G8sllNSo5XCHy53wn4tf9zf5v8oIGublSLDZCf+poYMFy0hf
LpPxjzn/En5DesX74TwBszI/RwVQQ/im+k6/brpl1lHTLBd3iLsbFGXlXao1zmNdmPpxmfP8adEG
Z+sOk3rN+DNCPjElDEyn9aPjzcN9otYFcQAap4dXRxtHGbpNlbbJhjircyHzHSdDi64sy+tuDTHw
/RNwvHAkdZNtHtNLhQZe6Gvr9wOoAUzO+QsIVJZbFdGR6gJAu2t68blMkvgIcWyF+TFkIaPAhQmE
2zDcWD56ehuQvfe8RKVzHLkjOSSV+VTlNelU9YwfcfAi0jbVCwg6vDhpngee3eY+mLM9Q2c8qJ4x
4CzKVlnfZtlrs2izeTtU0K7XNabZa54SEUco9KYglSonklsDkVX5QV89iKCs129iLX5U84U4KqPb
mk11a9U49QmfVXaDHa/HNR6NY5KozqZAXacpbX8At+aFakI2WV5U5mYizQ/DN4tk+idANWUDy62e
bteOzNGm6AHhKtbqK5aF/sutKYa9c2Zw9E4L744y8sxK58YIy1TTLj30nnBx5ubQJv1x1LPP7OKF
XxZDJaFw2Qbb+jGJ23UIiOtKNpSdXVjI7NyIEN3MVIgGJFVXEK9bfsvZlYm7k8zeFYTwKjlpvJDA
Qf5ajHlnBmAA5u5tA3mJExtYI8VOJ9RXZynqXZky6Zelz4U42ZuaCGA17ol+o7hsUBsKTmHfIS44
krnBtkwQLmSWcN/TkDtVeeoN7dWyyBvu7fl+Yg/EtmjKZQ4cuqlSvTjEFFfEFU/EFmfEFzezuks0
aG+rTDa2I/uGVfB2JfK4XNPBtwlB9kxoBquMRaYdbnLlAREGz3+Ck9kh8xWilEu9+2LMUNs9MMeE
Du5IentoZfqyiBpUyjKRefgWHdrm7CMC3bDHF9NFGEhdRphBVIsrb+aZzwoqza80G6EBnm7ansaL
jNDROnEV23p6+O8w/v0wRkn8s8OY9cqP5tF811+HMetQU8pcUOH8Een93TwaDjsrVFK/KEmZLH93
GKPZYRyInFkqjb8nkXEYI7/hZyEYIeOHOvZfqHAYo/zjMJbASghpjMRdcsNJF/9mrfjONIDCExaR
mqkX+PdcQJa8lgx5VXXZuJlMqiBVZtgqESrDTPM+RsOU+JFMurUs5wt87nsHrjyiVT0ch4FUXOJx
QQgdeuJyc5mb28kEXRDeYSRjdXND+zzLoF3iKftT2baHdqIoWdOLMSiHkrO7J6NXk2G90PUQei60
5k7v7isSfVfKRoeE32G266Am8zeX4b9IMu90Y3hi7KCgU6hul1zRuFWUD4qMDo5kiHBLmnAMqKfI
HgtihueYvGHAzHe9TCDu2p6gXutUqi0r3bXaLTKtWG3MSyLzi1XNPK0QO6dqPLl99LXx5lOq2591
Zq63JlBiyqGIABlaZfayT+yANmgstGd2rIs/E6G89t3HlEjlmDG7z1nZBugIHwSxy6PMX64JYs5z
93qRycwaf0NEVHO6Ns+9zG6eojzdzMh0gkQmO1dEPEcy67lzyweejRcoDJ/Jy0AZRCy0cNvd8C0n
msgCHzD51iVCGoHOJdfRdFuES48zKdPLCjbM9rbjbF3PU7JTZR5172a3pDSYDC/ElUtk9dyTXT0T
Yp0mFmnWOkJojqKPrUy6zvPh0SL6euaE8QcZhk0otq4Z8VWSs9ZNkNFUBGczFoagQJR2H6EO6QnX
1gnZVmXaNmMJD+T32GwIbftaxc59HC27MZ/FBkHpcan1b9zQV2E2UvcBKHX4xL/tq5r9tTm5SFp1
WGVJNtww0C+uPFF+sK9qLS+YnjFqoLgJEyNKmPX0b4i49pnT7WyeOtDUu3jL/3itje2mqaEpqfk0
gYLo77Wp22VW/mQuGnJaDmWixNl2OF4w1JAlqqq8HbNk2bZ9vjUH3H08nDdLAkGK8AUXNViH6qyA
m1NKJ/ti7PS4PuWWuS088Jo5BYmZz8cswYWfdLhkPN57MzoN6A+ANqfO8jLGdfcpwWxJAJ1HFpNd
V86d3uCYi323K5VbFVnbHaQPBiCaSLeDoW7JD7JhpERveSxeI8tTgeWwHFJb5+hU4mNvd1+GnH6t
qetbnls7JclvNTQCpOlYAauvsBEk4RnOFKaF2m1dQAcgXkz+OIKYHHaohsj24BzMTRLRNnuFswbZ
1CMPS8twqMXWsJdnYZNCJMRnN6LK8pYHPmhwA5lyWFLlqmqTHWDtQ4VE3ZaR8FkBgizaZ/ABc7ci
Z8UlFthcj0YzfNLaDs47LBMdIsVU0lMYKb1NSrou4Z3EvDi7mQF62ZR8IB+HLtstYtyCUg2mciS7
PooZ3DpAo/owSb3HMgOn0XfJ1UTOIorglBCx0h79NUdGS8XIQuOlB2uqDsCxhNNscgoko1muQYEc
5o62r9RVht7zzGcLJU8Z92PfvYzddGHpHvaZ+UFNY2a2C/GguUOCLeJAMyetXWW9BUXc22q5em+N
0SuML67OicaQKMCgB8SFZFAESgur1ihvIhVZe0I4T5aiH3HTKUjM8Xp2qpNQMN2BVw/M2IWvM/oD
2eQoGlgQqjvShkmDnT6penOI0PqSB+ls8qzg/BOVAoSnvjMANwXp2l1MFaldnO0LDsAmnc6RvX5g
Dg4nbbiN9PHYtROJQKgjBQq6ddW3tt1tDEU7MCufwr6uVk5hY+tZw4kWe+syKgg8ttxto37ByQ4d
Th8/G6lbBMwqjAPUxhutWvwmjm+11b3y3GUCj8YGxV7nowoOnBFvEsChQ2ippN7BiK1x5yXixiiU
bV4sN7rnvhn6yqakCXv2EH3nKsz6yY+cleGyDM3N4LgPIgXGV1pkHYjS8jYi04vH3IgWUI3TW9aP
xKapH4uxQvdXXyVej7iMKDFU+CzUujcrBik2as05EbjWsvUh13TITVP+kRN401fWbadEQCdV70mx
u0+iBZBfJixdx9JByoCqT2MqmZMEJRjewK41B2kLMZdD1CJhYFXXLuaeGOj841QoM2oHFpZbZR3m
wBXuplDTA+tKrCNzuYaiTr6akzGGy1QLIG/as7euF60D+0i5EIcxJBh2KJkfGe2bM1CTegP2z9Th
uFxEFSK++VRn+k1d6ncsiWd/qk3YS/0LguBwgOzmKMultwXTXM6vDi4e4NvqQSzKR4IyPhQpYsG5
MsKmwI3hQueecnsN4HzB+KXOL8ZsvO3Y7m0sFth7s1IpnzHriKDUjCn5hfFUl73gP6Z2jg25TNVt
S5OjO1kjfe+3IvhTMxfP8C7afek/Wtvppg1wFQTe84e7/pqkpk0dDPv0ytqBzdzX2+QI4D67Tnb/
Fbi/F7g05z8pcCnZXrsfzH35rr8KXO03SdGV8UiWRj/PJ/RXgav95lFxQhWRtDtd1p5/ThvQkmty
uItK7w+Q/HfTBkYMtqqqZNVQHDv/qsCljv2fK4iyWyef0kScxaX07gqadHYpreL9P/bOrLdtJNvj
X6Ux7wy4Lw8zwIhabctLHMdOXgjZlrnvOz/9/ZUdd5KOOrd7ZODmAuN+aMSyilSJp+rUOf9lvKA6
XS/RaskWNZyGGGa27ZXAnKPBoLBnSCSPXlZs+769Bv+8MuwYBcsKgE8YyMbZkNEPxD4XEhue2lSs
ZTcZtXqpKg0EX+Te1kNXFleqDgcO+VLEn0bfWJHC3TkTItaSIT9kcF/AsE1XaYhQq9fjkCghMDbT
fOyY7KRzs7wTvUArdsO8B+1lc6htAW+5WapexZqUbLoUMe0UrXi5Coy1ZA3DjHZTvVGoB+MDYmaG
Gxbxe12x931cXufUo4u0B/wom9Imosl34jsJWUvjFBdySw6rqu8ddu2ZRzqEhUBPk76d14Jv4vXO
Vgb0V2pqMhv87kqOp49pW9wAZj8Ng/ozKt6rqEi52alX3cyOznRDVNDJKafCfpwclD3HMS5dW+1O
RyvPXXTiS1dq4f8G5rB0VO8hpmRN0TTn4FpTyCm3cCbvohAcpaUVnhsGabXojfF+CtVzMOz8g5Zb
GPgJkGWttC9rzQbULrViiwm4nkcR1i0RYbcV3CCLHHnLYSlT8lbpzLViJ66m/WRTCDes7jQbjMq1
KsumzAkfL2vrAiYVWoOVjZaW45Os9Kp+W7TJtpWAV5d6segG1ZjX495DgAyKTOOqnr8bx+yptfx8
bsX4Ujb6BOZUbhJITuqlV43mzDJLeQ3jEADJtLPL2pspYG0oIOU45+g1xpJmvulo+kVRftXKqUxJ
gkKMnVBCKJdGksLs17JVq5gYO/u3uIQ6syatT/2qSeadRFfQpgU4s2sAfWhhwtMcJ3ltJRnrY4qS
TC6UlcLS+YgZ8GWcwqAra/PU620g7yVKUMDodxS+sF3r8p010BCuBymc15I3rb2GzLdvYlQAfR0a
m9piDKpMBaAMH62zxr+2PItnCkjlWk3TbUMRwm2z2Jkh+ypx9LNAMej6KTvflakEnzJkHmbZkNoL
ozbPUlNdm7aNhYjvXAxZXVMPUsHiBJgq+dSPUemEpNh76Ackw0U+SBt6tJiI9fEDO9FtlGr3xYjo
sw66B3G2PYvUeaWSjlW9fd71hryIbOC3dCq6M2esL7VCe4wEbh3797VG26GPnPNBza7DLIlIIaZP
SckxtsYohUQ4ipaF6FI3HjrHeYk4fpDMyCf30YSA9Kh6q6mlHo6GvDmrdZHc+eF1HviwUP0wWUhF
fJv1+a1SBRi7dfqukqPPmcmJQ2nQiytyrxCks22b2x+jSjpFNPcEHz0ZALCxMIPixMuNCBhJC3pX
QTbLkT415Uj/Jj/LqzSZ9Wg2zQLfumsmCoqxrznrrrCceZ066boH9jyDZalfqHGOO2AJtuLxv9vi
87YohAL+fFv8sA92h+o+4l3fbItUy1WDQjt72LNz8e/bosAhUpoXyHQ4WIIY9WVbBGyoA4K3beCJ
GKwhb/y1CA8xC+9mqvCOKmrwNFH/Rt3HUChJfZ9Y4QpjCDaX8GABJv6HdmiWkG4l3MZF5wRxPY80
7cY35HWUZdJJm/g4c+iTawjggte1m6EfFXDxqrlQOuekMWLTLUAULv0IwV8phxwY8ThmSpggrZgu
orZ48NWBR5ae4QDr0Mxbaa5J7ccaNeL3Yxr1K7MyPWCzI4TowQI0jV58gRrllo28nRm+it6Vpdw3
Xv0ke22zLvqMuI4UMNp5HS9AorwfleEK9IN5VcI4gXLd23PanuhJ0DSdJY4Av7dAI0eHxRIJtYU9
xMvIb6W1ElneIgIdPLPb8FHJ1IE9r4Nx1mCVRJ7OARKSrjdrNOQFYy9TLjw1QlKjzfhd4GRrCwXq
WcHlpzDJZhVW9VwFKvxEEQAQk8BnaD2UJyj7eQBbRV03FXsaldtdg5jrqekT+HnTGaApove5UQv7
udNOkjnQmRrilSlRPgXI7VdtBVqKokUVmKgF2NJNMdXXTlVhVCXbG6OcLqs+Huec4m+hWz/kVX5e
klHPKiU4UWzj0mi8D36HPndPGtDFzlNV6Bu5dbZG3YNnryXTVTLdgsec30V9cmJm4achajBNdqSn
wbcDt22cZZh0n43M2ReZVW4UnfJNlDU2uxbT0iUckbXAD87CsKcyhPb1ZzXLL+0x+ghjPJ31KQfM
JDOGBY0XLLE4RM6mur41u/qTbYI31NV8Efthy8k0REYgKT/mMJmWqQxlebBNf17Lw4ecrz55BqGF
ndwssknBjQSHFtfX28tCoNZkgV8jYXvQi+aOkv1jClFu6WnKYyEwbzhnNyeZp3KCBw+HO2u3NAVG
DrFun8urw6qVISLKz2C6UODqCl3bSAJp59OycjU7JxCA4Y3A8XRgeZrA5zleby2UqI7nrVk/UXo3
udsxdYn9wi0Exi+crJkZeNisAJ0FY0WMeEOecC4DHegppUvzV0OOuVv5HbWYwB4uNCCFKtBCzu8X
ZmxvJA7MrbqBAe/1W4cxsXe4LgQ60QSmGKfmreWkF+BH2RK0aJx7QBpj9DlR89/XWXOHoi42LQP7
Zh4VzqK2nMrNHayJmgg6QlxsVbVd1VJ6UwOijEv/rKG4slaAV4aYO6vALfW2h4QoEJjVMFykiYpn
nJx8CkBrGib9f1PurU1UWmeqk56HIDsTAfFEwUJFAiGeBEgeC+QAKCh40HDTgg5VQYkqoEUTARu1
BYDUBEmqW8ZtW9UXqoCYBnTT5oOAnSKrigWCgKKy3aEH0TYrH+c9Ut6J+gkdxN70bicBZUWXv8Yr
GBMHAXOlTIYaHklSAQrWm6p9KWCxnHyFUoW6ppk04dsGeNZhWt0OPK0KrrbpqbZpAmpL8VhHYLYy
1zE4XDQNT3VwuWEQYNcjoLoJmF0Z7O5kah88ELQYEwDrLRFkxfxIeW+A+EWYSCAqsytVgIGpgkBd
a1cY+o1ga20PwcvuqgJB7IEk7oJ6Kz9DizFECgXY2LPSqwT08WCF0kkAHjkUwGS5GU5MkMqdnwDO
JSV1o5K83sz6eJEIaPMkB1tMsqFvkI3NpSp58ifvQ1lwohgVTviaAEkPQfRYFZQscpAusgBS01Mk
lQesc9r70rRuwFtbAhE2ldPVKKDYkgBlx45/PWDG0wq0NqhtLDU6uo/VCawv0mgl8KHSAvLWKO+6
iYk3EaZHdylI8MaXd+SbIf03QOI2aHGSoRsV9Phk4TAEnGOhd/qyAl/e5fZpCN48qj3sLXiIgDPg
qAmZeDVaysMESt3wWbMHcOsm+PVSqfaUJbYNuHZEqheWALrXY+vqIN9zrN4xU0eEGkw8JJG1BUZe
9pul3vEQ4B3Oyl1gcwUEkQ5CgvW39QEHrO2kG/u4YaEMNTNfQHtaE9zDrAGfr8D2wFXCuagcAHQq
GP6E55aUHRMuS2DPOhURXCq+lUFx2bSmfCWP/o69s1rkYdAijAp3XqbXcmHbSGeAdFFXVV3dhbFy
bWRt4tLvvVGs5lOEQP2sYl2gXw3qPLEKFEAHBfS9fQ85eFhVTkUJNr+vohJei50/1nBXcKqGrpIF
GpaVcWTMPcxT2fNoVPBaX+AS4lA/hE5LBUvKF07aPnqiDSpb5aMWZBdR5NQIC3gUXTtvqxRUTHV/
RBszx4bTpx+LX0gLc65hBfNsA11AmSgrQoD4UO7y1l+PBi1ei3VSInvvpex6zKdgFUrR59jC54G8
GQo42owebuMRglnU0q8Vo1CQK6FyPUnWpmgCtuIMpRnowxbiNdMIgFqpL5C2mftj+oQsao6rZ38x
4P5A0u6fyVpIdagpnmwpA76qO5/6HBdPqURuHBrULg5wOinwl5Exyb6q7GzLal473lanDxKEmBXi
WwCGEvtspzzPkySntl6Fsu9TlS2xWpUVpwxeROP+yzY1SGB/kkdXYYZE1I/1JfG23xNpICuUg3AC
kIVUgf09rpDe6de602sWrbzDhM+x6J2q9FcdmwSbbk8T/PMfmvOO38syXsOQS2R6nn8niyaP+yGL
ZsmnC6s6/I9bERoH33RPQaoPZlnW6WWm4D20rdWWFWlsQwpIM23sVQfQNegTEbMPgMc+TyICKOZf
6yImNOt+7PpgURAsFbJJpYiexgYU0OrWuSwiCw9QUuoCkxVPxB2V6mCpilgMCv9cEtHZdUHjYjp7
UY/NoyQi2HD6R13EdABCoBVRntvh6SDiXnOircRCUMm5Mc/F2hA0ZjdvxHphjdWjlNNJJOe878AE
4h4xrmQWGYnFJugbZUbjdm1ZzXmGdBAtQJYlo+w/9WSlSTMmbsTKpRnNnU9ze+WIRU0Ry5sPuHQB
lQVnW7H4IWy9g/udg3pmYbRZIcNQvcgFbhccNY44IHkDIL2DKp+ksrHXm3SlAfmt9fBUFxjgilLd
ACgYvxv+2lmncnXXguvIBygUmYARAyd2IoAUyMeAMAbQ/VCp9UU1hbcGCOQYBNKcnjygZMO8lLhZ
EM/9Og1CCVKKBPdFav0lmk/Xdaidt4V0Pj3DneVQxW8VCLRR2ukmQsN9ZgiAdC/rl5LRwxYUJwdD
ghcLveE0CqB0RQJiXfrJNihbeWGDvjZrsJ09XVMHXLadwzeQyd0K7B1gDZT2pioydQVYHMdmgN2V
aGwUY2KvYiuo5pEAgJudNywMAQpHFgoA+KiuK7//6IEbT8L20pRbHDWz3sXOsFxVMGcGvMhmPqhz
FYjPbBBAdL2fqEiATU8lamCVKnkrAs1z+7w7lUGyBwLSTsJ4H0nVe7MzLmmZb/yIZpWpRisdNHza
6GtHweMqnsybJirBCfgfobruOflKdEIx4DYEuL4TMHsbvH0WlbBAVIoaVnGL/RCVnrq/kVirXd4K
/VcA97UOBL+EmYGmmoiUKflTSl5KPbTY0ge4iHWspJpxADEFNaDFgnsxCLaAhVEIsVLZMHtD1fUg
FfQNDkexVg27xiuiOYxcFIIqWAhaHN22OFEk4Y3WKAlPIHwFYg0rMhgMdmM1q6wGsGT0QEQHRfVc
LZdPR+Tz9UzCTzIKtfkELQKOMP47WYlVNJSJMKM0jAqJ6YbPfAqIFWT5u3gA98mzdq1rJ9LIfoVU
iAQpI7fqhSZYGmSSC1vPsXGynmRB5Sgs/ama5E8OHA+5T86LcUR/CvIHdobBwhzRSxjT8n3Q1rtE
n9JZOG7sfDrRW4dujiLIJAP6TjbaRZU9Pql19dmX2tM+b66Qat42XRQvsfOaTzBUNAelL0WQVnAd
U2dRGwuXZigtVdM8FVLKKXroBWne2oVl9RlICoWxHEKhKsgxQ2+bJ00rOCyGZCNip9+x6paYTJMG
dfBrGjiXuHXgC8GCfFoLEo5ft+0ymLqTRhB0VJg6ZjDsaHfSaRcknqasE8qMEHtqHWXmFAtIMBgY
mA/XjVHS3RN45QFqcIllyCLLjIqgywkJ29wmFRCRfPDYtDUhPe+h6Cj5156H81HhXDuevtaG0SZJ
dqhSj8l7r4D47Cvl0m/s5K7q6xA/BIxOZUuFmCcC24huLZNzjNn18ZJlVXepS9wPGZDmVg+XXZ+d
sKC/H/UcQpqc0q5T2ytA5SpgOmPewTddBfSG3a7W9JlhAvu1s5PAM3U3LpOzOuiuQkMHGscBwcPo
BM+ECsNxP+G9XXdtmJG9nrL2Hv04iDJF5c1oZgSuGZWS60/Sk6OTtzdBFa6AWV9lY35vasR2mVg2
dWybTGYgbQHCnZ3LpUNtIS/vFDsV1B3YOek4oCiiQk4OsEOZ56zZRpHJWKbJzTJp8vvWoZNY8CBh
R78cwWrOFL5ySopUo3sNR5dmwI8UED9z2oXmhvMBRXMdKn1AxqblBthBvbsJxviqZ090mwj8YGhA
ScGOx8f1a+Rxs9H+aCNBUxHg+UKa+nkMiHmUUD7jaN27vtxDoYzNG6OBNpqNj0ZuXEZ+sR9Q4qLo
Gt2Js+WsB+ONdFZ2pmhYbkNW2rL/Y0BhZWtZUTZNUlSuPqrtIhZgfnw6k009lTeaSuAnmXYrjfpF
EzaPfZksHS+6YbOXT0MTRiL7/6YO/QsACB+cKV5rEkVXK+gGvNIQ/hvhD3hQ461sxDlP0ApAAHVz
1bIewiGX5mmVcxwSeOgxt98rXlouDGESkuEPuCgKbOO6pPU2cjXuTPRb+T47dQke6MOQcdC1Pekk
9P1dhWWPD84Dd9FilZe0dDOruMxjXEjBlPsLTOMeigiMfduEn3SZ0lZUmpe0eD7mugkuPhnWk689
RTLVCq2j56uqmPTYAw41poWpeGPSEZPzkccvouCuhCM2BpPyyay7c5QewwUuu9TUJVbtYKQVElmw
+E0p2smZuo05arlN6EVk7sVpKDDkelOtxknHMUoTFWw5XkfIhblolrPfCT2aUvUyNxfoc6jXj4GP
M0xp+9USmUXZzdOum+fySO0ARtoombegQBSUgDzDTUvpQ1D1NxRTOOyEjpv3CUJBCul9SxvBp0w/
V/XgujGtcoEn+ab129pNZecGKuCln/SOi7QeZahCat0SvpSrgUsbfCmZo3e4kcicCMhIBsBQ3xd+
irIO+zmzxRaC3yyFDipG4b5H4EEqzCdTBmeGGMHcSoUihBM/WULLAbGRh26sTh128tloGQ91Z61K
u61Q11FOvEzLkOfsdHcw41s/TWsX5z/VtVu8WaQUqNq9bHOWcVId0pyUz5Q2OimMCr5jG0XnapiD
LKh4zY4/+RKqgWkffVA4zMyKVnpvpY45U9N8ozv97UDORflpQiKjyLNF2eB4h+gg+oRxycfR0S2x
+0pfAG86tVFRsO1RYMlKOmx9/wR8m7oagL0FVOql3LV3RUfoBpVylfiZsLzXtpoZUo4zomrWxsU1
jEWE/unskl4OrNNVth30KltWpk49snkA8QPaLmxuy4FWCsaCN1OCO9aYfEBcK533NUuqJd+jbM/D
Dw4BUpfVz/OkPSvqapnJGIfIY92wHCKo35jR3iE3DjoT0Ykh209pdTI5VDv9atqoanYXRgi4QI8o
OnRAarI8K2bpC0qezMDpLfRYQ26ytVbyUD2ZASmdlQ+ftJScr4sUNwQwiE/OBtubeRBnO6S47qOm
vdD18iQNsVrygSh5HQRLyrprHDnfD4GyGAyAvl6ZX1MeWBe6A9uP9oscXWKE5CKyAhlQQ0HJSxZh
1Z3hW71pw8JNDLlTT+pIGd3St9T4Kskm827MQxOnAgk0ylViNEU3H4XIn1FILyYm/w/OoF9uUYgG
L541g6/afTW+39dssvVrk0O8epmTmXzI/7M/+vlAX9SKP4wFasW7RzR35mHdVOFDQ2Nk/3xXm8d/
/uOFLieaKd+dap9v7PmufzpOsmMHaR+5gqYjwKdCtdANHKj54VSb5FCQXl6WFMV+h9QxyGHBu+Dn
5Rz9zUz92Vz8/GO+TOrP/+bPP8K3MwF74o/Qkb8yC3zMr5OAHhT9MWh/zvNnFB/y+0lw3pHYqpzj
lZdZep72/+NJOPA8iDbdkc+D9s6xZdDgAvcifn6YCusdnjmyCg/yl5wERL3+k8eByfzueYCHgy6L
qb183YTZd8+Dqr5TLdqmgrvJfP96D4IAFx35IADvhzHlwM56mYM/LgzMATQsuAQKr/ySk6D8UcPn
r6wL3z8IBg+7pqOV8yUcfogG7N2ZJQUFnV90EuSXb+fF+O33vetvbRHmOwsnLgNgx8uTQHx9Fw14
3Fs2HRVbGIT8mk8C5dAjw8F8x3dMzL/ukwcmAasnZGm/7Mm/4Jpw/LrovDPALiqOQMd+9wiIxcDB
LUEzftUV8csqdVwcIDHJJ7TgKh3aGlV0jk2WRJKEXzQO1Jdv55hJYPuXkdpEn+xPtgWQQ1TXSBf1
10n6JZcE9fglgcwYHO/vMyHMPr4LCtZF6tloPQgK8685CUfvkAjW6Y6MzptivjwPP6wM8jtMRA08
oV+u9euti0J+78jNAVkRJEMQ7RPZJz9/zJUU6x3SfbJD9/BXfRKO3xxsDG6ep+HLIYrv+7twwFFH
xo1EoUf58vOLToV2/CKJhAGoSbYC+eWT/nFlYCp0R/xHbvllJ/mr68NfiJ/fSxVuECaPz0UK0FWH
ahl/9gev5/IfX/+mBPF88P7uL0XR4uXiL4UK8e9/fV/DeD4rffPq69np+Upf3v/lI/548e8u9vq5
Xn+5xolgVz0E4/ML45cbfXF9+neC+dPj7tuygSigvJwVv97NjwWX39eFn49OO3z/x8FFkvD6u8PV
nL82eLp7zKvXgb6WfsRKcvSdzwSt5nWcb8YmAo4e290lu46vpH4d65vxWRqOH59Sa/3DV8qss7G/
weBZU+ETlh+UeRWn66MvMd8nv53n1cH5ZxM9evxF8ts8r3h4Xsf6Zv5Zj44ef1mB2Dw0OJvf0YOv
kn2WvY7zzY2zSx099rpN7/PksXkd6uvwylsE7CYt9lW4Sw4M/xYhu6F7emDot4jY0311YM5F3nb0
nJ+GmX9gIVDeIlbPdvGBNUzUIo6+7bNdXe8PzclbBOhZXv/278zfJ/tDM/MWIbrdPbIAv87DN8/5
W4Todgdo7sDYbxGiYuwiP7S6C4/to7/W7T57zB/CQ6uX+hYxut1XD/vH1xv9Ou/i+H38zefc++s4
34z9FmG6zQ/OyVtEKUPD4N2PB+78LSL1fFcceNBFneroCT/fd7sfc0f0yd4iRC+qHUvA611+83W+
RYheJruH/YHcUX2LGL1M2vRQcieE5o+e8/chqWMdPh6YGdHjOnr8691DxZEgaw7speL89wYXyH6b
7QEVH7rAW4QqRrZcoMp21ePBhUx7i6AVF5mHe//Qh3iLqBXjL4mAh7B+OHSNtwhfcY2TfFe2h3Yr
7S1iWFzhrA3r3y7uw7o49DneIpjFVba7Zn9o/LeIZ8bHGXm2q+4PeyO/RVi/XONn7svPAIcjjstf
rvDnvlFHX+Bn1h9HD/4zN8XjB/+pevLRw/9MEPT4wX8icHf04M0Oc7lk1x7Iw/U3Cd2fqZcce/c/
5YAfPfhPiTFHj97iw35gixdNxKN34A8tBaL0UF3OeIv99yM32B46XAnqzdE3/wkDgNdhviaFwl3u
+KHb+wOZsvG/b7WHyrK/Y19+LNa+IrwOve37WrT4i4dkv6v+9T8AAAD//w==</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82DBA3F6-5AFA-4690-9A64-2CDF969DBC61}">
          <cx:tx>
            <cx:txData>
              <cx:f>_xlchart.v5.6</cx:f>
              <cx:v> Amount</cx:v>
            </cx:txData>
          </cx:tx>
          <cx:dataId val="0"/>
          <cx:layoutPr>
            <cx:geography cultureLanguage="en-US" cultureRegion="IN" attribution="Powered by Bing">
              <cx:geoCache provider="{E9337A44-BEBE-4D9F-B70C-5C5E7DAFC167}">
                <cx:binary>5Hxpc902tu1fSfnzo4KJBNDV6aoGyTNoljznC0uWZAIcwAHg+OvvPp4iKUraqerUe9fPziTzgASx
gL3XXmuf/PN2/sdtdX/T/zTXlXX/uJ1/eaG9b//x88/uVt/XN+6oNrd945qP/ui2qX9uPn40t/c/
3/U3k7H5zwRh9vOtvun9/fziX/+Eu+X3zWlze+NNY6+G+365vndD5d2fXHv20k83d7WxiXG+N7ce
//IivqnMx6a35ubF42vklxf/rm7q+7ubn+JmsH558dO99cYvr5b2/pcXj+5DXvz089PH/W5qP1Uw
ez/cwWDKjwRigoiIyk+/+IufqsbmXy4HmJAjwgnjEdz581PPYSp/aUaf5nNzd9ffOwdv9unfv7/B
o9eA1fj3f16F28NqHADIAYtfXry2xt/f/fTS3/h79+In45pPy9UvcXN41dcvP63Nz48h/Nc/n/wB
rNaTP3mA8tOl/U+XfvrzKT5658MWgJf+Q2j/OrIkZFEksUSffuEnyGJ5FGFOOGb4M/Rfn/0Z4Ifb
8Y/n9Dy2D8c+esfPr/jni/L/BG6PZv0fDmfcwC48nE3n/44TKo4QFlJSyj/DJJ7gCCcUUyZCjuHK
wyP6V+f1B1g+93aPluf5w/rs038w5DcQ0mzzN0Tl6IhTHIUh/nI05RPM4exyEcJvHD7G/Ptn9Dza
T8Z/B85PRvxgCG+re2v/BoDlUUhQiCWJniB7OM1SYE7DJwn3u2fyPLCPh38Hro8H/GCwntz3fweq
4RHllCFIu3+Ycg+xHFMCNOthqP7e+TyP7aPR3wHto8//YMieNu6nf9v8vrp3f8OxZUcoJIQKFj6f
i7E4IoxSxjH/yrkewvwXJ/c82s/d5DtAf27YD4b9CRRsfwfq0REcWCiCvqL+TDaO4Bom+Omx/t4J
PY/04/f5DowfD/jB0D27ubv/RLOH/3IJHB3JiEC+5eHzUZugIxQBw4Y66XHU/v4ZPY/vk/HfAfCT
ET8YwpfVze19/zeEbXEkJJeYiS+lMH1KuvAR4oxiRD6H9Sc4f/+8nsf5yfjvwPnJiB8M57P7/haE
mvhvELMoimQkIqiXD79+VyqjIyawhOzMnkvP3z+v53F+Mv47cH4y4kfDublrbv/7MDN8xCSSkHCj
zzD/roZCRyED8QuI9pOA/b0T+gN8Hw3/HngfDfjh0P1bpA9g0GHIvx1h+VSQBumDEAHxHD2J0mfN
983nj7B9MPq7oH3w+R8M2Yv+Biqo//7BpfToUxYWEft8cJ/GZwxuREiRjBCI1Q8Lp++f0fPoPhn/
Hfg+GfGDIXxtxvvembu/B2QpUEjpFw3kAOUjRwlAppwjKJaeHOC/NKnncf79Lb4D6t8P+sHQfnlz
24NpZ/3fIVWLo5BHEsoj9PlMP43X5JCtD79BGDv8enKy/9rcnkf9mXt8B+zPjPq/gfsfm43ffNvk
xt+knxzfB37jn1/9tFDgVD8Z+iWoPm8cfw64+7tfXmCE6CFEP7AcDzd6FJK/WNJf4/TjYfc3zv/y
AtxjAP9Ax4WMoH6mHNyK6f7LJXIQSwVDlBJEMYFLtum9/uRJSwT7hXPGMEPR4ZJrhi+XWMio4FHE
OOwpQr558pdNteSN/bYsX37+yQ71ZWOsd/BaB32m/fy5w3xDFIKnRiICenvECJIUNmd7e3N9kG3g
4/9HzHknB6GHi8L49lhUkp31dj4RturicOjfRHWddIUvd7bh1XqvG9cFV8OyqKVbTSzwXF1J3Vrl
y+XK5+y4cXWz6SpnFF6XUfESB1tTjUyxVm/yctT7qfMoztuMKTe5XMdy7Oym5m01vFzy9r3US6OC
iIeK+9kUcUscOx7nYD0OWzvrLF7EYo6HqkwWkgU7H/Qfc2nX2AQo2y64GZTGpdxXQz6+aaUQJ8RE
5Zmgtt1i87IdqG5TUS9o02JhkrEPUMJHaZOGrjSpKkMUiWSueixPSt77tMtxHHriN+HcnotQj2qk
jdyM1TqrIPPzxmk77frJnWPnZOxt976f8tMFT6lGS0IcOUMsP5lWr5Uv2kGZbOlUIUQ8DW5ILSCs
8izwKTws/5hNTfTrshZjtunCTqsBBWsstMM72Q/XuqQvRYHssG8jHfgrg223C7s2tp2Odl24OPsy
8kj2Sg8ZHxXlGdtSPI2FCrPwY5kN094szbAdbFkma20vl8KdR6w9tpU+7xA5ET7YNG46DuooadZ8
4zqrULHGoWnvJkuujZfvHzYZPNqTt0279CbXX1pFvv34r1dNDX996jr47Q8PnSa//bS9bw6uvHv6
oUPw+Pap3zoXDof1WxvDkxDwuV3lD+LDn178C8EDlDQovb51ovwueECDwA0wkBv3NHx8HvgtfIDy
dnBA4bRDYR8xOJ7fwgc6khIMUgpVIMLhoT3la/iAjHTIRaAEEExFxOHSb+FDgJTLEBcUGiMgtvyV
8EEp8NXH4UNQKEQjeBJiIB3xJ+HD5mIcq1E0FwhV+a7Ns63OA6F6Op0MfFxgjxN3Og+k2VK00q2c
h0tbsDWmtv7QM9IkLnC7atFhKim0seRTRFXBdBcPmq2qCCaSaC8CxbtoTYJpri+7XL7V4drHY09p
PKP1RGT0tA/ZTjQyTMJAb7ulfZuJvInXTpyt/QJnqynHHfQwHed10amShcerMLXKGT+LCHudh3Au
vRFXcuJlYntz5VF/A/W1jUWYvxnrsFWT0XlsZz7G5bieRZa/nbPSxZjSd7Jq3kbzeCJLfDrx6lUQ
1mdeTG3cT/q17TOkAlzvbDad8JVdW1tscB68J2aO8y7feNTx2PXtacubd9CmdE51XSgdzttxDq2C
TXHjK+GUnSutAu5TE61aQeCtEtrPkVqybkmFsEM6juOisqK+6KeZKJvTXaOJUfM0nE/VOKh8nfA2
LP2miLrruRyLOCyxjQOyXtIsuiW+fVUOy2YSuFY0t5czizaLrveG1F5l3F1GA3+tuyxPW7a8iwwE
eTOFbQINNmVcWdNsqFlcYgnf+n696mfLN1hXxzOu7vVad0p48jrSPY77imRx1MiLYuTkvMr4bhb5
y+6c6X00FApN4iRaiiImAm0MHxvFOpMavxapp37c9oN4p6MoV0Nniaoas8W1taqsm9uSR01S+KVQ
pMObSvBkQXm6+GVnFgiDdV186Ht6z0NyPzUo3+UdO8+jfD+PXa4WNNZpsVTsDQ1LlKBFEMUzA40e
3XEdRvsqxGfhoDe9yMsNrkyfLvNMYpJHy1YMbcOVDQefTmNwZdrpTq7l1MchgiyG+m67dsxBUuuO
WdCRuGPtTkaNVg3JCmUFFwljYkeC3G6bfr4pJXtlUJOMrk7RIWPC1oV9JN82dKSx7vz4smO4S43M
57TkA2TkTPMYrwNOfdUWiobVtRzzJCIZVdTovZXRaTY6rOqyL5IqL+Bc8GpIRdHiDe0aokBZRJug
olWMzDqcLMReZYG+pfnErnxWX4ueITVHtN+3Dt5F+2mKg3VIHWsqlaP1omngpBT1PCtIs5cZD091
jVDSooKpqIAFtNGv3uNj11wZxlrV9+JSiDrbz1FzPmfVpEY/HUvS3DFXtapbipua1W3KS1cmwRyU
SbvC/pjCjsCWCPNEr8GWLnGx/kpyejf2p0Wxd82UmqZb4i6DbTDW2c2yrqMiS3eWrSVWlgYv55bt
LNYB0Bj9JsjL+3KAI0NsA3u7DTdOdvs6qFslKaHJWFWvOpt9lGMzxfkM+45WfMugiTBl89qpoF29
GvPOngZkDs+wrV8Fpu7O53EJYM/zIuVyzZJ5HYN4yLImznvUKD2NZ2NfCuW4LVQlzUvdw24OWY73
fVXolGWA+JzVRJXLetVkbQScimLl6nGN2yW4pl0/JAiepPTaZSoYoymGxJ5txsUXSdN5ttOA18j0
cbnAvQbaXdWMnlSNe4ky9CoLTZNgMh5nIiQpXdfZKNf0fXHRzrh/V8rQTWnkbFTEbihOhmEEJuBH
WpONmTILvNC490Lmmp3+/8gJHmb2EOzy/0AHvrW+/laFfB71lQtgBm1uYLxDPQACoQjhht+4ADuC
pguEIobEIa1DGv7CBRgBAnEQE9GhyZFgARn8KxcgRyBSCMYFEoJy6Mr4K1wAH1L9o0pCRlDtQK3D
KdROhEHN8rCS8Ctt2m4Y5nM7UZmOU6Zb1dCCl3HJp/EqCsLluJhHW6YIlf69b9j4umRu7pSTtnv7
YPW+kMpHhc3v6hqot5AE0xq4DnT3Rk+ICbNLW0o9jOeks/g8L1ebqYE3kY7n0TdSjRMb3vOxDYzq
a+G7uCv6MlfZ6jiLQXu1d9J7dAH30ENCqgq/XsNA4O0Shdk9XgI8b/58xoT9fv1YxMG4ITLkSBD0
eP2Y4RqwXfw5ncMcwva8Vq9HJgXdeL40oRqXGReJ4ZlQK48Wo5YS0W099gtO+rHxd3p2DkMd1IaJ
g97tUflaIyjB+rDM07wp9GU5yOPaSe0SaN6Qb5zuTspqCufUuCA6M70e6+2fv9XvYQBXEXEAIoK9
QT+99IPyki9BPgVt5c6tz+SbJhcYAndJYGu0dpgvp7mXL9sMV+/+/LGHvfZwL4K/Bc2gnEoCexH+
cZjWg8eGaM5Z63J7bsWKz3Gph3Pr+tiITL/58yc9JcCHJ0lEwDwVEfhq4sk+ay1b1q7XzbloEbvp
pqavtpkXCwTtVqeoGyogu0Akmrig4VT/p01z2BSPXxQ2Cgmh5QYanSE6PHk855DYc1ubc96V4U1d
DOFNWR3mEK61S6O+aYDUAPTbqeomorqy4fe+km4/yYWdHlI5iulUNGVccFu/pn0L+U6LZblvg7FN
oPqseRzKhvW7kEbroP589Q7Nmk/nzw9hA4oRaLHnDGLaQ6BQNIQ2DLPgDA9ZfWN673KFg9Jbpuiy
2Px40qb8kAvZnkKm1ZuoYbOJCR75R8/XtYkXnfOYNcV4b3rK78aw1fz4zyfJwt+BTBnkeRD5JMRW
OJ1Q2T2cZdQLg3rt6VnBujaTIvFSr9vZz1Ru/DgMcT936GqslxDUBw0srMd260jfbivWkrisuvq6
rcJ6Vrya8rdTUTf7xXmvWijeX0euFEkGBCMemqIATu1pMQGPd/Z8agN30QUrTfMcS+B/a2brmIy6
3oWRr65JkV/mi6Wzqgbenfuse+VJHdAkGgkspFkIxAY2rOuBUhenlQ7F+wwN7FhHAp+u+TzKeEKa
1TFsOrMPRL/UalrEmuApDJK1mG9b1/mXIENwraba803mumHPMkJedRpP5TbjATZq1WX2QVLUj8rY
Lvh1qHmdtK0j+7Kx7R53srozYxvBuad1+dLIbOZq7Fh+3Gf9EC+wDlsMFeZFN9Vzyqa+22A84zGt
oOs7j8cpF108Ep2ltaN9MrTyQmdBjhKMG7+DVEOA+qAiOtCt6t1cI31Cetm+DKkPt4MsArJxUb3e
iKjpU4fmYt2Mpcg3wTyjG+Kq6aPLgfjFK/FogNKJjPlm9kUDh2Oa0iUfB7Hpm0wnladQysFHFSSg
voGFrkeuClcUQcyziSvehPOqmK+ymPrA1ts+KtOcDQu6mihm8HWYHlWqgJ3kN9RP0m1nyufTqFzX
KrsaQB2ra7WYarH9nc40Iet7NwUzr7WSPYTy5pYAl/O0V4Mfhhad+9LX5XwsTbduRzn4bF/3xgAN
J1XzEvGA7ouF0iEeAIMM+C6SM8BVC5HYLIN86Kty6tKonHIEdZnH2YXuUMSbXbnwSSfLXEl/GjlP
YUdNWYPdFA+QCzdRoIvsYoSjE+VxJ1oBG46Wrt5YKIykqjpIXlk6jyaKgwy+oxFCgYIsgy8RZHUd
azlM2WaqeFWnLgNWsAltXoPWtYYQMS0p2RDXug8qNbold5fOBHWdNrkRH4Nh5Aaqs4b4rWFiEOdh
kOXZsaXc87CAIt1167Jz0NLU67TNNa/TzI1rt5G9s2azVFG97JBzdRuHZKlMzOdwqba96UwQA6zk
bdDWK07A4SnrBP5GwUVVoMDBklv7tqhrWe9pL32VltpH1+vgKd0UQUPwiZ408HnFNdF+m/Vja19C
MqbHRb6ScjO0MIO08VW+pqCdrjIWxdJOZ7VYYGsHcFT6JMN4OO5pGFZJntF8SLgdAU7DHfATuxZ0
va9KKqNEwATqhC617vYYGbbLDS+jmJRlRxPTmCxZh6wMVTD1rbwssqlgMTVdsaq6LdbgBGUV2+A2
y0Fq1ZK3KV702uy1wVOeQvmpJ3X4nMLSSAvbJ6ddPE8mWBUIs8GvvV0aqG8MnCNyjldrVqPEyAL6
aqkmMpxHrVyaxMrOQ81sISXljpcwQNYUViszGtv3K66sPu6WugIddQpXc4J97l+xgoQ3IZQ+mRIY
Nu9mAOGFpi5aDUx+wEWdVLQD9UVMWWqw6d5X0wTMosiL8aULo+lD22u6G/mUZ6koQwRqCKhEdBNW
TTFvbD/i83VuKbtyPsSvsA/gE1MUOBF7vPA5HUldmF0/EzLtLc8duTABl28s6g6bsyg6t+WV0+5y
XpgXMeomwEZPFibWOAi6J5DB5BsqEOzuGqJkn0BTztzsvZMZuSz6oSyvibCS7WdWTMOZn/2BfOpl
vgzLIJrTZqrh0U1zKFxnkF/WLSr54eUPU58gPsG82hqfs9DCWwxdCEuly6ZcY1mOcHTaKi/Nle05
HPl+AFaQwzWIqcRbfdFhtvRW0VYjgHvq5+GsDnTrlEFDN29mxBFNl7Ejh6ABhymGN4IAMkt84Mne
1m8yQuWxGI0RSuiwhH2x5NHNZClMY+6L5Zr6GbmTHGhucdK0tixeCsgWW2cRPu9k3r1niERQtzJt
yHEjcjmcZLrJx2TpeTcBwV3otiWwrDHi3XJbVmV4OQ8ONbsOLWP5dorq3O3qLKg/Lqs8xBDTVTqB
OkDQ1JBFu00b1fItmAL1pp7avFOcQZhbQJK7No13J7IuC5ALSU9yCHshg3SkiXzTF8GYpxWxcEzW
IKNyz2yDu/saAvJyDDYKnI3pELHTIgxgRedxHVNIMlN3gvuBRHEmKz9CpqUjAurdFb/2cpSvggVo
+vEqfY/vvLOLUzV4NePeTARuNddYrzGbDkJUC7CAqlLKaLM24+jP5oVXL4vRgXzG3Y7V8xju1ikC
cEqE3bptq7Jpzmw0s9PAI9akurP1eJIvU6tBvnS1fgVMxN0haSGMQOh0oyo1eC9KTqPoIAss3csq
77B5h5uVilGtwMCW162ngYSbuaxPNQ/K/DjI2umDzlEwxhV3Ubk3EuGr2QXZCpJc50CiWwfYpIb4
gl7OZbWG53XUVpXq2hFFZwxrNscLsBuXTroF1CZhDXgtK68hdjhXpXimcw+CCxH9dhUd7P6SzTmI
eNmCXJy1LureTuGCXxW6h70GmU6+gb1eu0srLYYAS1pZbESto0nNw3siBlAzVVmO/HVIbDclU5h7
dsaySozXXeYkSHg57Oi0NRTQhMJhmU8N9WVzyvtW00syoyraZ3Mj4b3mOcjPyj5op6R2GcQMYGOD
P6uqDObfyxL8Ei1KnUwzQvulY3DulyjiRjGQ5s4+sdIvZuiXEvezl/fQ33hod3yPb3L29au9T42T
Rzf6X+iugKfxx+4KJGJ//1B/Ofi5IUIw6KuaAsYsAhMV6mdECSERtNB9U1NAMwHNmkPHLKdQtEI5
8FVNQUcYvrMEhQCYHhGH//hNTYGuLCgNQGMJQ8oxkuyvqClg4jypjMJDBRuBNnOwaxhUd49rjrGd
HTAiTS/czFC8zuN+WliX4IJS1UfdpqFkUL1f3nICxqXL2W1PxamXS5mEh6BXzOD9+V6feNC5lUX2
LChQr8TaDsnsxvO5j1zCZA9fIW6GD4u077UBobyurktWbO3ijwkl110LSnLRLYOSYMSCK0pObQ2c
Ig/4a1fKJq5k7SEcZa/XpngbAtdSkLTmOJrrizCnF3iKUtk1x7zq9mW40v06Zn08lETEo563oMuk
RLQfwRy+HqY8PLbgIIGJ+EGYRUm3vpnBTlYlAQ2UAq9REattQtssRnMzxLzVbyY8/FqCxBnrUu/I
0FjVOt6rWgNB9qO3sWnpeVl3x1XJqJr6/mM3aqzmoPHxWokLU/dtPOXdRRGO7fFce4ghJssTXjcl
hMk+jyXKs3MXNSgBzrpGqmPrR0HG8nxk/HY1sLhtVusrAhFKadffa4/kWdFU+1AGECFIu2y1deLC
mbkGwX0C1MDcUn3u87is5wlYi9VqLHC0NeOcq6iHAM9mnl+hnOLt2ha56nJTqdpSUJ6nqVGmpnmK
lqrYUTpXaWAM2Rb6oDSsUDdHM+Q11DSQHjOc4HlBUIY6s2GozTZsolXa155sfUPr1NLiFEzkk9UX
F6XFe7/ka2Jq8TFboZgqeM3SwBmaLMNSpDjjy7Yc8ipFhRawEHgB17qTW1+AJl7M/bCVBLJLnfcg
HQAvu7YTF9uhDXUKrefFDqEsS8AwpMpRGlxVWDJVr/Cm3RxFyoDNuBF54ONimYRamrxNA2B7EL5L
cxw6N21zol8txF0OA7KpDsSiGt9+aCoH3EVHUGF0kh230lGV44NCth6WyBD76+TC4rUFaquclna3
DCAHkjlvVJVZfBEKDfStXTMI8RzWuA+GnZggbuuJTUDAB3NX1oaDE86zdMzrYId8sRnCKs0yK6Eu
hrq2lrZXUAzVSrBiUEExiaRv6yqOxiK6WvF8VczDdTTVZepIgU1ckeocimO/A/700dv1g8ej3vgW
D2AGVP2ZgVwY0zlKqr6L9tEyZadRwMetyCy7JsHwxsjGBwnywwyuK5kxVmZobyeYFV+DEthkUSkn
dLcNzPIKBxPezDqPYjTKY1uTKJ2mBSs5DtAr4RbVgpwCtWCeGmuD44ChnaH09egKH0OXxqu6K455
YS8n7uIg4Gcu/DXj5GRoovHdUlb3U+RPZxYEyvagUoppmE4HKIR2UvpCmd6UKi/RKYGn6VafjCP7
2EHdAHZVdYYmhNUo+ZtVgOxjilUo7+o7x0ELglJx3xTLFcjrp0NoQKfQI01sLZptaTBw41GHybw0
sxoN5yDl1nvrSBtzR8PNsgCEuKsvhiB/Wc3Zr6gZ3rcMwoNA7Zjwsj8xE76ZyyhKXUlBZnBNvsED
hk4RCloZ69OxcGABrmCIVm48c2J6O0QhdIwE7FLOXKim5nYvwhA+6RE4LGU1xq1vToYC7YBi2Hhk
2aZATXdhpF9UAWWkCmaZ+Lm/d1lUqnA0CVT50XtozqjDtLHzmSX+tmF8b4fwHTCLcG9qrIp+/QB6
CFT9zbyDl642moBSUeM1qSJ+rguIMrIJFOmnuJRBo8YG74Iu2i1TlxTEgHZkpitoFTqtiKNxZqoP
Xsgdt/Qc5+02YN02h2ofMI3nCsPP4Y0WxsTODB+d4ZcgH/p0bJa9r5lOB17FASuvoEILIBcMcUWX
E+2rq1oGCTb6VQWSs47sjg+VTYbavKqMj4Ee98pmjqt6WXcZKFCmigVyMzgAJIYmqftssIuCPBYs
WyeIE5emLqs4j+w1Mn2f/i0M6n8hNwKV9Y+50cP/LcEzFAnGPqBIIWXQwSAxhm/sHsTlBxQJWtNC
MFe+8aAvFImKI3xgVBK+JsrBk+LAnr4aTvwIOA2YWiSCtpWIw7fJvnbhPOK70LX35eeHFg/o3L+j
SAfBHZpOwBeB3wfX66EsK2u+SjuG40U1GpAG475r0HE1Y3ZsgY0UcRHVr5cihwM8B6fCgrJdhPWo
piJKtA2Qwr54Nef+pBTzyxHNp0uGC9XqSCqoGqD8Myuoav7NVC/nvKb70ERg/GaN6oQDh3Q+jtoh
iue625sVnOsaktCU5RI6JeS8heaUj1TkPp4+tVCZcomhxCBpXwadWgXbDEUhYlbBGZZOv1+iTCtX
sSWFMFEnqG9fsWgYFBsCAl0aeUzbFcXL5BXLuzHubfa2kjjxJFri3rkkNNOHaChVkXV1EmJ+2xXc
xGNk3kVQwSvwnfZ0FlDOQxYDnepdlLOt4O0aZxPdaNEHirp6R6IxTMZG7NwMbX8Lg3ADlOTD0mQf
aj9foEZ3CvpH3hskTVyzcluW8x5yp93geerBhYK4I/L2LkcMojK279omhEaEQ8jOBn8fZWQ9d+Vy
Y9owO4FwDkJ5SGoFWSkNrMDXBKhbwkBmjc2hIG/cLLfTVJ7gsBvBaIaOHwh/vd+A3B+vjBuwyHmz
qRaK4gpU11Ro8LtzuTZqINadLUjMSQkO2UY0pk2yKlhiD6xe9a7UwJpACl6QyVKLnPkf9s5syVIc
XdZPRJuYBNwCa4q1Yp4y4gaLyAGEkMQgEOLptyvLqitPVZ/eVmb7XGw73VfVlpWZUbFA+t398z/O
YC26Q5oZ/RjEy/ZitqUpFYF9wqeOXFsqkv1mOH9T4xJc4a6hX0BmiIdp9Ie7hgbslPrjehmyCryA
7dQV7I0RY0AUtZfKyN65e+tlHrcuyDdBqs81ZV4KOeoNJxmQe64yf9c0pn8mFt/4Q4VM891rs/pH
lILREA4TNNrOOw5y0IoAqamDCReHFU4jfDNwhtpu+K6b3QD+cAKHCIszK7xhvhkdolg5WDEhywoO
AABj4lDGCExj5ODGQRAkQA53BPcIW7jOuUMhpYMiqcMjt4j7pXLIZOLgSfWTowzYY/IbWAnEUjnY
EtPh8pLBXD5R1SEMcVCmlwLPnMBprg7YhPdYrg7h/M9h/lOzuhz4/36YX3+MrFfTx18Pcvf7fj/I
0RhCCBsANgY0jNUMv5ID5B9hFodYnhMBDnB48u/nePIPMH0woeI0Qt0o9iFA/zjHYaNB4gZpGEWJ
085/4xwH6fznczz9SceH4JqzCF/Gn5LvdvR4kGxBcyvIFlXXTaDj99UnTXqKRynrO+UZAHvzQN9p
g2jomHly4LlZPfMG62h6yZpIPWYZizeErLMBhiYT/TqFs1/BweySHW1aIGTMe1mDEEhNvUWYvgNe
BCsFfiQPc+3fzgt9qjv7YertA5cJBtH1gU4pogNKDkEn2G1gkz73OUWmUZWzNyJEa8ecTl4NoGeZ
iprYDz6MSzGY0eAEqqd88jHR2i3tECuk+07i5fMkxsZ4hq9YjyMwhOrYC/oQLfGDYNQvOUJMW603
WzrWZbb4H4McHvsweG/SNsxVNZo9AEKwfMG2HVKWYSJeFCvQzn9oaXJZ0ulLIPieU9ldxIhBtOFz
PlQB6LIp8fNorCGOTZ8W/cYfFqSPkLP9dQiAIN9k5OdjKleM0TAoTbSYfATJXehwBTYh6+4ildht
Sf8lpLiEJp/05UzG79s0WgQGUKLpNB+7qT2QTBx9rss+Sdq99bIiivSap0GwnxVkb9PiezBUPmiq
JY2PTOKfomVF8JapF9nwb0nG79OoKdO++4r0/okqR0/rNrpUcXVivePrBkRDcdIUlVBVXs/0UoO2
R44ZPQANfIpGAE91nHyjSp43Gz70NiU5J2lXSgml0C+qzVW9niXzC00MzkIlDx3z1jxAYIocYHF0
4UtLp66k1DBccWxHe/0okS8Unqn6vCHpPhqS5WYGbJondkp1PkYnzal4SUW8liOf77dloXkcNjdy
w/08eARTiJ2fR9t+VouJj+AhZ0BfZJ+M6StA/S9JVRfB6H90oga76b4Msjx4Nt0P1XbbcQarO9hn
1R0eVnUTLfOly/jdZuk7oxnCN775+3FlQx5lXJ9Ib8+a4rHz4/aiwNum8DtwLKevCHS9HL41K3xY
RYU3sj03/CbuxW2Yjecoo3fLlA4wUZDp1km098LhHQKvbOLgWUAo5lQlV/1Cby0zYS7pfPayal8v
gypFNT2lbfJJvfV6pPP3oBJPk05OKCFc2oX7J9IkFGIzm4pY4XMAs/qt8w1esa1O8nTt5rKX9Bb/
8TTXpvkyjBgjfCJug8q/G+JoP2T80/OqAsgvXPaGwxwJxZ2eVXqRYXNOhJavmOPGvLO4bz0iu7PX
zYj7GrD3FUDrIhHiw1QV32nb3ftT9aXzlC3Q1AA7n0XHLN0undTXsw+ydY7ekDd86BAOfoy/1AT3
bc/KrsogZvUt5oMD+IxjCCd+z6rueo5plMsolXvLZRkF8Mtw0OY2bq6Qz4Zn5o/yflp5NV2ti7/i
gJAwTYJwKzOkZUe/TV9nIUFUKuQC+cDaCY0Kog9iwldfS6XKfo0Clz1debBZbhq8WEAQWHwrE7FB
Uo74cHSyvm6DrB9G3+/ObdTGB41vwc50Xnf0Ew+Kv8cSpryeqprkC9XNUXuhB262wV9te+Lvvbbi
+X+u6Z/XtNuM8e+vafnXO/rnOo3fi0JoA+FyRvH3t7v41zs6/AcJQgx8cDnAyrjr+/dLOsViFrR2
gLihDo5YDhLoj0s6BayCnniIxy2K8Ut/45JGoPfnSxoQIXoIDuxzFMyf8T7wyTGlHhjfUDQvQ9jp
ogOgk8t+gCm9iX060INv1Cm2XrGs2YtQts7JvOI0yOhTm0bXodIn0ba7YUkrEGiJkNmOuYm3c7Ov
whBce3I8acPqrJRd632CYIDzK/1wwTtdLWItYkmqnHZJe5x0y3Zibud7IvuwVDN9NJwCIFjsbRZ3
sHhlWPbNhjN3VU/Wei8qls+hAqJDgg2E82hO1LO3DUuv8B6UiAy/jlsIfSNNXrfkoW+Duyz1XoJl
kighALytNL9e+pED4pU/7LiB0g/8fRUldRmMItzFwXqLgO9j6Nq1jJdwLq1qvoFo2UpNqqnI1nRX
E22KXjX+HqR6gkvEi+zJrMorGlOf/Tm5DaH2Zr85b3NSEB8w0SKAywHTPYMmeG1I9uZFCXRWF0I0
TDsdixfOQPiM7fasMR4ss9/f+JXZiV79wHLXchnZQzb3rrgkLn0tTr6wL3zCea2WH2SMLTAvmxQB
IBFo3mXJPQBYULr8OExeX4QNAA6rgrKC4VSAr0oxCfW22OzAC+DaXd4Ai9YZmHLVEpYLYj2E7oii
5dr7BSXJ18bWoDN8e9AV/K9p9QuZBqeMhsd5Hm+rbpRg5Ji9boZx6HGV0FkcdNzBNIw7kBZ6LKYp
RkjO0UtQOOsaucDNrj45pjnerR5k8lq2cv2oKVx7/JkYA1ylC+a6aXCHNKH3Qca6LcZFhxjhwsKf
su+W8/QaQOKygwc174O5oZfOhMe+leNjM1XRTaCFOvtBvdR5krXlNs7HZlkhZmgX7bolwW0q/IP0
mEbTYKA3M0sPsAZP3jC9kDg+kjl4MYv2i7qZSKmnwL8J+6C99FL10KkUii/GgV0tLXzT1eEZkedK
bD656dcwuGeBSo6ML4cMZQFr6ivBJwTsQ/CRhjQuubTsNgmBPmW4E20q9rOeTAnnuytiIz/tpPbB
wr6oGphGpoEhNfg8W9yJtwicMOD+d7Qn1EL/B42YImBDmTGOASJSUJGpkwy/GjJ9uC688zL/thNA
e7/FcWnE6Zdz81+4Pv/ir0DNCMuI0DfCtpqfntAvZKft63VqGY1u+fQ58zvbP8ns/0v63EWdPxuz
v/dSY+xx/uV7/ZdG2s/VWf/6N/2iI90VlWFaAc7rIs4/DEHoSB9oOu4wii7aLzqSYuMM/pc4CJ3G
QYjf9PsVFWOHJzLOJPCx8MKt4v07V5Qrz//y9KHK6jbEprgICdJSXIl/ojT9KtSW90l8g1JIOD4H
WdMJWUgr/LJpvBmDJcx8BhOfhzCm6DociOnuiRci4gtBUo1s1RA7CalQqkrphAqIGrfSJksY53M8
tSCQpuoKAZpBa6dTG79Xgr/2RjxQv3lfTaCLJAxvLJVDGcmYQSqhUVEPzadKGpoHRAaOA2qA5HrF
qpGWyZYXIuC2NOH02PjVlz6TiEcUaTdbdo2o1xfgvFMh2Ay4Lx55r1B5SVZaqNlqeR15Fg5/0x5Z
xKp9gAINukKSgUtY+s8ArZga4RM8L1EVfi/308pMoUR7HFrvyNigAevITxKO7aED6wKTRzyz2vsa
XPfSXquIlyBd8O3pNl5UXfXkD+m9UGSX2eXQbve+ps9mmV5piiKMRBD4/wZx+N9n0Ls9xf9uWHRr
3v7Fm4jf9cubSLCGMY5QG8dxGP9KL7jdPzG6Yn+ADb9Pi/Df3bmMHnqY/lb4+OeriH27eGdSKAUa
wtxBueRvTIvRz3rFHzcB3sU0whuPtz1AAoBOyp9uAo/4dgq0X99W0KSJBdKqgTNAjo03oe5ee+7l
/aqzcmP2KqmsOEhRX3dqPhLf/x55y1CYLC6a0EwFeudn4DdVvmXttWwWML+edy8ZQ8FBpeCGRPcC
PxqBJ8uyXcT6r/4Mj1Gn842eken5yxvtxA+/5RjQXBhZN+8060oPUPHLGMwEzUx+roWpAPDGS4kv
W+3nmd0oIKfIkYM3WEgoO7EIOVUYTaXxaAQ4uPqxmOl72MU03wJCd6lq+wJA0qPizf1ay4+NmBfP
wqbIaL0UKmbbjnvxVYwmTDmjv5336Lqj/aU+07j92iTjjcABm48G/4kzLOrd1Pt3aOOVbVdfq347
t4rhvRuRP8ICuIvb9o449JsxDOMm1WvR0Sg9oM6NUW8yX6upnYrOnxk4hrTbbw0mvY60T2iJ3uE8
afKQaNjI6LJdjMgeJ1GVGGfuJ2nGfdtFovSy7dx02VWj1zNGVlKAB56ANi+n2gcWUiv4YXj3Va5m
8MAem9Iya8gGMEQh+MWkvZtRfkPXX4dXUDftPuPrN2+x9qoGg1EQSepyEm16CE3qAdQNL3TwT0OU
9nuLnty99SRqcoPO9rYmJAfmlyFsBE8sZ9ncK+qhKOkh3U4QCAzvlvTbYaoRwHd9I/a8ThgI9Gif
4GQCsL7YI5XVXtfDBgpDJjmosa/g+EWBhkedd14kdp1c13IV1XuXQByAYrhmvLeAa0IU+VO2b5lc
SwLgj1U+0lBJp6sgGB54lTRlEiyYQdcYD+SMO4hMUXgcgWoX9bx9nUcSAkyZkSx5EehvLjOICDfc
tcFSbja9BmmRlelKv49wpnZj5qNGBXol1HiU4wh6ol5Yt+9rmxa+Rx9lE74vCW8LBlMAKX/SHfW0
dojqzaNnq+kElvRrEoUScAKuM17LtCTzgsc4S+6AYa+gN7ro6In4LWuDT8IVBtdV74J1uvaEh+nU
g/cTGRj/zQA6KLL48JMhKeWU0XtiNx1duTJivOR4eNludcWB0HxHlft1rfHOBxyVlw6cRg6edm9D
Hd4lRrwhCZnKKgWHUU0axmRsX9aa6oJWZtyBKs5Tk/FSKW0LztVrqmaD6gouXvz8g7wa2Zj7SIvO
47AMiOGaFqaKfNpUdTvS/jKv2VQCAfrB9PAYhGi8Bul5Sck96JbztjWHgIurxmuuSSvRTUM0mEcw
d05ijB4IQIbSx5+7H1b/nIbcFAm4apXUAdh4fOFZfZxMdCYe+QFvZY8Yyx1N0U5Vwl4pz34EBIJ3
8HUMwalNjroxvWKb3mPFxgofuk20fpUI7xQwjB4V+MYb1WOIJRAval3N2wpSCIATmZYRyEoav9dc
xVd6At1419VdnZ704EXvVY0+73UbM34QMPjKOategVXSXbyCqfIrwDkVnpdjhMb7zrQQugbP3S5G
XpnjKXybo/m4cahqv6LHhgJ5SVAJOEJzyzxT1X26bbernAFHCfAgXi3uOlrz59nHCSd6JKAj74Ld
XLc/6jG5HymIXLjze8umHj1+hPVJnzyEmf4m7PIyxGqD/SvBrIwvWzbDzCLbXRax88xtXPQ9+YCr
uuRKmtsWY5Rv/K7QupqOQ+cxPGvVLUpuQWE12C+vblc0M4zPT1IFCw4u+ZGoBWhRAMGXUHZhvP0M
UoPTYP1ck2AvsQgAWWt8qCI0XOpu4Tk41ickvXKBLcGPKRh7uR3YzA7ekt7WfszQnW1/0LC52oQ+
VTJEeNyxnS9gjfupRB9lGcI8EeZRbOFaNhVOP0An9V6GPZAlqwV6F2yn1YrBMRIHUMB+IYwy2Coy
PLA2zoDzJJeqH+7URBiiAsyScBlQpgnQfvcR3tbePh5HuAWJfOEUSTmaxB6tZKEIfW3T5WtrKPpc
a3c2/QrOY9Xnqt9e4wHYTM9ubazQENL0qq8QKc9tvweli752+k7ClB1CouqCesrPZ+HDLGVhEWNP
i7Rdibj/EcY7BHIQfUfoN+7NhsM2TPW5FehJCrQL8C+u+5GOV5FOYVOwhgPuSSDlE5zPsEiwGyHn
HnsEt/IxzMkJJfyca3tZlPfCQ3zUJB12I0IAHDfLXvj19zbLjjF8I+XhV6s+/aGX9ls/+WcRNL+V
Ef+nkdn/ffMk+bfz5G8/n+Cv86T7Xf+cJ2EkUkxtKUkw0ZMIhcl/oh7YM4JkMIgI9pn9Vjv+Y57E
/0fL0g9/iw/xB/4h7dz6EaSHCTQ69s7+LRoWivAv2s65nzROEz/G0pPQab9fZD8XYAUxciU31Tpd
1XpY5LU2gaVFK5Yeokg6gZSaCVLpp2pSGERsqX6qKd02byv0FXoytmwmyQsD7YWQvOQbIhbfyTLl
dzRXWfsJipjloRNv1psAxwNhBw+MC6rz3lDKeAD9+mpm5fN7Dfz0EWTiMTM4lxIc8R0aQjVh3g2v
ZGpy3FEgLb36zfa6ucPbyOhd09nkLpbp1AD3r2A3UmwlUWVcCSKfKMpa+2rMGrODR1ZpNP+mhr3M
kZhw8HDzyqFpwfpydWRN29pjQMZrtHquzBw/xHVkgW/JF7J1T3MEgE01/VdMLSKnzQx+A+uaRt3u
wPt8Nq7dMHrRDZ0DbC5ZX+aGxai6eRdv8UpPRDKv3XaPCBFBmVoDalLiqvOj5hXLJNJCUI59C/Ej
T3Fut+gbW499C7LkSczRdxJhHpgEvilxqu+TkGOYwHaNo8Gfnwd1z99tiDoGN+xItsyUwwCqRHTp
09D5wV5JDlMZzbl8bYNjo1F5WpaxFIadwgZ2XyyAGKPXsuUT4XIXtANKWMRewVe7r4JZFFvYwDKO
gqPi1i+CFBd5ZtfgZBcfVaiZfCMKg9Y8CbTS4gqbM6YDjOiPulFnmiXnCeEXesIAGcMte0wq8Hzo
S+/XyvsWZ9u+I+upr/qbGvNGDpS57MeNHoV0FEbV/9DKQyLMDExIT3w1TbYCBpFf8EjrPMiW5Egj
AMZ4vO4jH+pbp+pGxzD/oq26Q83uPq4VDIPGf6h6D7siOpQuyTrGBeDkyeHOCN/Ul7lFSKVqfaXx
CWo4l1gUxQ5rjIU5lAxqhxz3JOCCr0P86k/6JtPsqdWo+DIyvYi6eXCtG+zkmA9+Tb1TS+GJLs34
YJPqCSzm/TbMeEV8EDNYYlXnGWMWk1F1N1fb0XaVB5LI+zoOXlOSqOcHG1cElZEMk8YMaqiOJ5BF
JCpRMtquVJ/ctuiJ7VUaw/eeZViIpdOYPs0Fy2e+YeHWFZsRymJX4zVtewBHJDljRZWPDBnFEVsP
hY8XoIz89mMkvdnbTN9mY/Rl8SBIYJAseWsFLZo5/CHsjNunVw/z1hd6To6bW6GVJK6PKRUyXb48
B2aTRy/C01nVvQFyxTCzBtthTpIvsYkfYXutp0Vx8LljcEqR/ZRhml6aBSw3jQZ0vUQU7c3Q3rKa
ltTjD6JbbuoGz7ZpELAbyEwmsruglsOe4qemHUxvwnIYV5sPkj4ZH8k5GcmPKohwI3dfYaieBhMS
6FKMjpUXfI8m72Vqk6wQQrwIo4NdkGE3mtX+gVHxpmx0jhFWutEboUV0lUQrvQ/btE9QLiUWlejh
M8TkroJ4wFsOkTbHwzWyWL3bMOeDbvocw+BtSLPwmDkp0EMTbE4cpLoBJzCCxcY6KsyD0BCVExMk
0Y+N1IA1e9IdLVEWuxQgPkDZv/c0etQCJTiD6gvg2cqUqLe1Zdv3MN8YuVmwGGfH4/D7slnkOjG9
bp3oWZz84U4ILU4SZainIjpAkgzk+qu34E32nYQilYlvmJNVyzSsZeoFTRlCcxknvmyKdUg+9Bh3
wgzjDeQdpBqLW1vatumvBXSchZ4TTtgJJ/GwMaLO0dvuin5sv1InBPuq3XYxtGEdhU4kQi4q6EaO
3Uklcupun6abyHEebgcJnTmmMRqEHnDZ6oD93s194yRprFiW28lgDNIi269OutLYVvdUBv0+cboW
+hZQHhY+Ock7DVjNAzqeFFCm9qqZ5298IO0egXJ4FfQhdjP12KzDYSQcGym3580IfDbGYjp0khsY
Cc5V1BTzGHocvTsoIz/dwMGh+gXNXkG7e2wTMBz7cV/x7R59qRL9jMfUQwq/TQPad84EmOEG9HPz
JANYjoAHIDLDkeUz5AloGv2VDkAmhTMWVmcxWB9MYxpg+Z3fNXcaPoSsNlJyZ0308ChCXV0qeBZ8
2O4WZ2KE7UDKoDLIG+BwZHA6Uuz+6qYKeiSBq4NQMS47+CIqTC1gG1gl9QbThMA98Wf+obh318FV
4bWnCgQCdNeOPmRI1H/vtuRHLUi0186WGZ1BMwP2L01H3npn3ixwcapsBhDkk6U0w1gVCl6PTAU5
tmtbvwxNV2KVzRt1xlCAVxd15B9oR7zFoZfHjb7pFzzKkRZfqzjIdmjCcvRXuxeABixXzoIK4EVt
pCel17FrH1wj+i/83IHJLCLcqbGzskDXfl/TCTB0dUmd2YWs6wrFg6wc4IO1sXwV8MVWGWDbl7PK
RiRB+ECvBkzBCMC+eZiKQTvNOcWcjHb9Ec7O9xTz8+QG6QnN3anHrxrM2KQlqPWfRdugZZJg7Ocf
2dx+ou5X9AuQ1xbDOvot7qnB/D5hkN8ms+/cZM/cjN/203l1Uz+rgnEfQAhAMIR5AGnA2hr/Mg7w
BcKBjUhYI6clsJSCHTC5vWMCO7EVyx+d7gghQDanRGZIEgppUmXm1Q/xhzvNYqr2zJ2KCYX+GmGh
W51A3/QQOiQRWBslXxD5QgHJ+hA7TWTT8Gbl7Hl0aql3usmDgOpZdsEOyKwEjfQAHsvkSRv7AEPF
AZD8Vi5Bu6O+EdhCA20GWLMGnYFXRzrlFo72UTgthxrusmswdyJRZcBQofhkNJ4SSEADKdg4TVib
9Nb67UHBYII9EaSH0crSXy8p5GTjdCU4T1EQSM22XXpYHhhkwu0zhBilpv5MIU4jp1K9ijT4sIYP
5RTsGhhUUHuyjGe8Pk+1XVHz1umL3yc5FmKhETnu0mNYd8cAdaJFczgnYX8vKfgsuGeMYs9VFPve
a7MoRYoVzOt4xUGAihCL2ZZ02atu8ew9dta8SxIzr4wqVWMNXGIY2uP8ShmCr4KjZE889C2zGt0k
BScvaftScs/sWaTKSPC5rBb1BcD+tpMpnJfF1j46si32hchHE1GUt0MUOtrxFVts4lxg8PIqhKLY
YH9qkugDizvvVoYNAE3S86JhWmAnEN4QziMAxWbxcwTMK64T8C2c4GKbcKXh83OfHWbzObNIS5vL
MPoRzL2oXHVys2h2m83JxcHhuZzaDz+DU5dFF+wdxXSj+k/cLSiRdV3BZfo8MRZd6Zl837Bs4LC1
MFrtkh7BT91htSC2kLqFHpASILQaU0JufxuNOIawaQt0qbb9MNFLNGDjBmwVqbEFMBbKHHHuXjIT
HhLYUIVERek4L3ij2wB/YTw2BY86BwEuGG822MR9i1Izpt3M5+98YEXU3HKYPm1sQTMCMB9RXMrS
5cYDvQuyQt+KGFrYjijP+NilaOFJ1+QmzqxDCW+i4JbCb0ALuRxHr75aiHrFFoeTbtibTvRzn6kx
bzeyQ5d2pcnjWk8F5t4bOwTvrMdG0cnDySjq02aT7dTO3Tu+wOeGebRMMAvuGtgJZ5wK75FQy6vY
kIKroT2v6JmX04LdGFZs12ax2GVH/S/9Qj7Wlt8bIz94n2I/46TxJGRvXazQqG1eBVa5/Icm+q2o
6vLTfxMQoRX2ffxu/yrp3e/7XdLjh/aA4kGD1W0CRez6a1jr/wPNiTAB6Ia20s/u6e+SHj8KCHoW
MRGqagn+tD/0PKJV9yMHHO/7M+D9G/lQEv+FJoIZ5BaQpiGSfB+h8f+p50XfRcri1b0R4bbse1JF
gO2TtwRJokrmV/hXzxhZKuSMcJB2AXLHWdfPlQsirYske2STAzJK8ITIK0PDn4ULMH0XZWK3wSfV
2K5j8TL0SDtJLZ32UPsYMqZoXCQKLubdcyGp7+LS0AWnrYtQN2Spho30WNXjlXRPbOseXTzCEo/y
5mmcP3i2DRs+LB52yPGPEQ8/Nv0FBdXrNcwrt5MIb0iPV2WeYQnjoFheUUV4x4Jldpa9X+2wXIeW
BC8bx0tH3NsX4TWs3PtI0+244QVFueAGjcLC4sXNxgPHazy49zluzTPU+hvaA0eDF35yb34S9GU2
YWjAqeC3oPM7e7PitHAg6+COD2zb+KZwnqDqDt+cmpvMMZuKBadI7VsoUSxdLoLgsR6ux2Tfa/42
uHMKX+JhcicXaNiyc2eZ/nmqufOtijDquBNvodgOghrJoa28C3WnonLnY8XmnVHtAyr7F7jE2z5y
ZylWKR4H1X0b3Smrgwks6kgOozuBYxzFFpU0jDA0J+6UbmT4Xbtzu8MBXuEgn+J6y7Nk/CTujMeC
l0uDVUUKh/9Kq8wFLxeDa6HrsxuBa4K2ceRs/oupG0jApEywFSvX7m7p3C0j3X1Tb7h5qLuD0BAe
ciw2mArmbijm7irrbi0tYFrr5CPuvRPyJ72fp6CoCBDKILD3JqHQ5ih00iH8amFIFNHQPkhftCgM
jwevD59j+L+D6MYdwf63y+D5py5V1327voNpe2mm6bMfUoA7xmJnC8XNr9q5LeyI0Ye3+oR1jtgD
OvDXmQHe3VJIQ9aI+wr6CMto16PwtdqPNRQbMGCTc3UKUfhD4pD+wOeB/Rv9bTQ2YMLJIfY7qOZG
gH9Og9x24WO7yffOZ2ftm2u1YSrZtLxCOHMhWFIVCCjqjvSndEk/26k+ZU2NgDHokPtNT2Zij/3s
PTNFT0Sqq3mMvitKT5zUt2Bu3+XUPVMOodFt5hKF4zmc1fW8AC7r+XrfieWwVhiMZgqbzRxxXZ38
MdrHNjoOdXNVo6+cjzY89505m4ncYU9Vt583bMip9ReTNG5M2PbYGXbbzx12Jm3J1ZgFD1hVfeZs
OUYcrXXbifnULsFtBKushhkh++XrxCxgkDp4nNT0Cp1+rtb2Gp3ssqntgyQdOHG89LzDujHDXmue
HODLHAVl6Qn3/IEuBgWlRF+HEjUobKG7j9r6FNHgXngLUHQywI0YT0tGvpDVuIYjVvVmwfxgmhgN
IFyjWwJjR27iy6xDqAJURq0ug3WD5ZPK67Cj71uK5pNndjrDdM6WNwn0bIrJj23CjIa6924Dssyw
Ftq1U7Fl6iFgiMy61HQByk5wm+wahmjxim030u6Mye4CHvwE6ES7JbJnbCm7jZbuXGFNSN6q+tpU
EMfY8/O5YALNvbG78Uh2GFR2M2J7C5jndS8G4u9Y7L8wf76gZfcacg+gYfu4uY8QFZPP3l/xNtZI
ZMwZK45fV7Lchr5/QziiEqyU2o3WfAQeKE3W1xh/hr4cND6L0Yeknmt2GFLx3ofhtcVWASxkHo9c
tQcusW9jov5LQgk00YIVa8hEJ+8eq6Xg8EVPST3vGNs+2y553GJdX2Q89CfU9h96gbUHDhmtYBNG
W/zu9/SQBFUehUDvW02jnRnX4MjXCO9y/Z1jcWqeSEXONrEXlGMCrCHDPljCMOMN8QjasOlRG0nh
8tXkOIn5y2TY4yC3i53rp2qcjtLbYDCY9EUadsB/M8b67lUPzYJVP3dospctWYqgpRbHynqII3Vr
dI1Nv9tUpnQ5et120Ft6GieUxjv/ONYZvjX+rTdgY0+z2Ptl/i/2zms3bizdwq9yXoANcjNfniqy
cqkUbEvyDeEgMefMpz/flsfdltpjo891A4MeGLZUKhXJ/Ye1viXu0AQ5vopv33MaZo2DNt5UunVu
M857P2sVkfn9WMcfzDzuePhb9lEUAQscJxs2UW2t8nqxV7EzcHcuJyyB88pqeEvzXME8mrd2WLjX
GBicVd4Nhb8ocb0SQ81kcsBJwGjm88Ca0bAAWXPCUNVjFvIqka3BozAIkTw2tncTqLRVObjDIcmm
nLp6fi6adm9yFwO0ZQqv08gzLEUUa2bZ/VCGAuKy1XhwMDEUgtFSVjkWznWTh6dR66pLwXb1IdFs
hq0AwJVN74zmTTsWyyEDa8HkKDNoywd2dX41LpkHx+Y06s1hqOJrBsEbY4LEK5YPeR3chnVz7GuQ
ZhjY1iJzIPFr9QPDpmRth6PfAPNfDem07Q08AnrXfR6Sfq2lzqMR6OdhnDlkYi/vh00XmKtYb99V
KgsHx44+8WT9gKRqF4zRRTWnpyDRj+xSAcZFsc+FVOKFQ4C2mEc7zs8YsfW1BSwvwTwAduww9BzR
zdw7ntUEl0RlOJKWt12bxqwdl30VWidzindas+Cor/a5O67MUk0Bg6IbthIdhnl+1yG7xqw9e2Cx
3xXZWKxzJT2q8bhXVeWMvm9NKbQVU70Hy7lV0mgf2vURocY9g79jVmiHRuek1Z1N6lRf5HwsScOb
KaBSmM3KX4LIZ2C7NuvuKY/ck1IU65aLbpr6Y+9mX1AahXi6i32pxreNbMNFvHaNZF7pOVvnSb1r
pQ22KxhyQzWlXw79BelywEzMlRLh3m03XaLt8l48DA5urQTeKkPPtY5xgdKihjKY1Tzd04cMMhWL
W9h0jfDdtGcGFGZ7pUo+uG6w1Z3lWoUbyBJSe8ciY6Mn1X2pWaoHxTgGmRx/DZpyWE/J2PtdpF+N
pnoVhPrHSe0sP04qaTHdJm68dzG9bsIwOA7p8lTN5hWkBt7xmAHHE1wsYTmaqHDskVqq0vxgtpxL
qZWHwuj9MnOwHHfqTWYop6xDQayE+qbFE7kKGHCsmlbNd9FsPZpjMt+5PGk8ZM2naXJ6TxnL+8lc
birFehQiCTZVXD+ouJ5XqtVv0nbI1kXLu3YCOjr56KkB8Q3sv3YhFGmmiOkZPglyGGW5KKI5VlpY
w8lqJ2bS+TP2k5YSscamwp9mlIjaUN+F8QS6csn3oy2QWHT9aWnkqW0aD5PGjZaoTug1kwvYaTbA
q8ZXWIfWBuD+vR0t7akKGikv1u8FwoXD2AQ3bps9qnFl7OTtbqHnX7kFp3naDPqjE2GqqowbbZzi
k6szhtaqfVip75ihr5bSZDQ+9tsQFrqap6c6VBnWGw3mrvy5dwCPG9iqQ915l3blIUbpkQ4WdeY4
wdnoHmatvnUnUiyKyr5KtPAqx5GW2cZ8RHD9oc7cR2PSbx2ew0dTTwqUDRai6c54XHJ377aaskbT
XmyLgW+sQJQvtRhbW2EMuyTDWtQWFadjaOSqfgeeV9BG0IsbvpPNhkjWqW4pvtBiaCrrHzq+3+ug
ZTYNlncBaIiFKKvbNw2UiFV1EqKIL8zZV0VxbpnIusbdr19EqvT+UvHhynx5EUtD36frGO3fKGrT
YGp0pW3jizrvleKsKgQQGO+68d2vX4ZO9O8vY2NRlMHhUi34uhkMVNWlC1Ap3MXzWL5X9N8BXP/+
/VlfoxZHNM6v6+3vqnVnqyytPLsUIxfazgkQX/7Zff/ks/jJz29jkuU3xC/KRHf5+ucPbUbgugln
xKHvMK/N/wjSIXD9nHTAGv2Xv583n7VhpZDqeZRemGwqjM4w+NmegTnwKUu8X7+Vn7yUxCngJzLY
tbNxf/1WMgeK/7iU6QVaD/PKDriRjMlYcwwjCvv1a8kf+83V9epjYdrw405f1WLQqVaWXSokxiAM
6Ls6j2fqPGx+/UI/e1M/fv5v3lRhJ27JjvHlhXRkRdFqijacI/Iorn5zrckf+u2bApeBlobTURfi
jVBBNwtRcvAWl5ZVPhEwk28GX379dn52uf3wEm8vt6U1qZVMtbgUzqckeDSU/8flLB1e0JhxmyG2
eP25sFE3O0MRxSXhCagjlJz/Hw8vfDWYBZj+CB2c/etXKJSC+t7Systifxrtqx41ntr95tn1sw+d
i9g2TUPKpF/4aj8oRhB2omFncXdpKPzmNWpGzbwBaFFWHrKLX38iP3ktR1L5hWazKGD+9Pr9RAEU
N5c9zgXpwZwRPrGOIGPVq5Ia6/blpf7VMMlksj8fun8zp5zK9n/+l0jO7Kn9+9RTfun3qSfZihwk
tsGh/1bIpDl/gBfgKP8G9ZMYgu9TT+MPB6m6TGnjxmVNw137ffApSOzEyYRdCwHLCwbhHww+Xz8d
OHk0FAPSp4kMX6CCePPISyB4OmPhJlc9PnrThtG1NX4XfSAcefv89Qz69iq6KbB8EgKMlv/NeVHT
U2TmYiZXXZnEmVc6Ko88t0E6HEDR8xMdFH4J0/Vkhw5g3ypK1tlCYctG51atopsMG5swo/g0qioB
I5pirjWnz1aMidS1Gkb7UeT7fojO8eDuql47cWbcgL0910t5pGS4xE14UJN0XuVDCBhOrcGNzKQX
BT2bjli4X7UpGlfIavnLLgVenvXPsTk1lFMWTKwm6F0wOnz9ZCts1dFCWYcRFP02GCfb6xQkz4lL
UT/1S8nGqCsgVwvjA7RWe2tnpv5R5EixFAwS21hNI8uP+rrK/BLH4n1ZaogDHDRDu9Bl9b/XdPY5
q0F3rqy5naetjXqB9RssmVWnV7rzYRE1A8NaQIhWFsvcauU4LfUa9zRs2nVv5t0cINMxlYtTC+XM
968Q6IMtVGiHSql+LY3Ys3pW9G4kkLrYTrzTMyM99FNtOde8Xqt/NOfQbo9iBufghfAKSnIbputI
S1hJhbN7dBvLPgxhHz6qFGz3gw2yjipzuTO6Ag2zU6ZmwwjXHJedEw0BnLexdd+XpYPGrDAg6fVo
ckQFySHr0UTVYTjvB1A3V27f237H7/xEGdN+aqPwOM0MqeaJCaFbx3tF5JpPIUr/nw3j7TL0h0Tl
MeeWmnsbzqa2QmHHQnF2o01ZAZKZUoPuU/PsOr5njDCc+OgGz6oxQDQdYrtWWMTSZFN8IFEg8m24
Nduuy3CFupgu22hgCjmDWKZP2I1GYXvRJNqbsEo031HyM60fwTktoYFNfGOUJgSiPvECK9uRgph6
oa5et+5418HXfR8Ok/Ncqjg3ktSzxsl6LuPeM/PWS4Nae6cq/Qb5+UYRZeq7Cm2S0wIypINqrepr
23ZPRcwiJpk/4JjyGn04uFO+4QGyso1la0zqeXYGD7nzjkkcTVLkQQL5rJr9uc6VTTZqvt7Qzffz
l4JBalh+Ab6veaOV6VtAg/wQ5vBoWvHnbGESRQ5Ae+hwpUDsXk4wL/d6KM5ApryxTx+Jl/DaTkew
7Nh+MFibUDi7Xl0Qjrd+mAeEO6g1m4wQrzCY5T2r8AQraOSZtn3Ne7w1+77wpngJvbjBjGwManxG
OM4+NhA3XQYvCfb8MRQTFzNSo6yemIMGqGWcfD663EQq+VbCbaD3OCen0k/GVN4rS7dOEQdAO7kp
6upk8+dBuCcmIzeRGx8yUfnkW8XkFwDWmFNAdji+131TvqQgXaVK+rFMtY8Vyvy4TY90yoek126W
UfOAMHtllp2Rs6/rrJ6PjE13BLZEMKfnL3Vq73oC39ymgtOIun1exoNTLvO+XorigLQOCXoA7Qqc
gTeHYOjMSU+3tVttA9q622VW6t/Umche//7kRe6KKFZ12Grx/28KgVnDjmFl7GnrVPhD5lIGDBBZ
c0Rvpy7XR88m2TEsCVXLq+VJq+r2pq5T9Z0DI2aFD+C2b5KTOgVe6tr36tRtCXZ8ZgAbYmUBgBcm
aO0syV9auKYzGU0WUDePCbgyox6EZzvdDjHAZwSS/RpwxAeBi8EftA7LMyaPVVasx3rdTnutSu1V
FxRbLaFIMYbrjIy+Ngc+k+V3vZ0cQMcflzY71L042VV5clrhbrsRpHs7xzsxRea6HVh6BCytIoix
VKQ2K5n21ph7bQ1F7aBGLve1HqqnoNM6pCfT+yQmCdS1euaJMzP5eCnYHYMwm2LprF+uojbZp6O5
NVnjeDHM2KBI8cw4CJJymdaAftUMqxPWHXJtCqjsrAayPt9xrjUrfsqFc61F/99c0iS7hfDLKKQY
ALjg0V7rlYqFpLlmWjd4Oeg44seS98bM1iec4k8uwkMiKmiruECdZtnA0ZearK1W5RLg8ZjkzNN0
a225xm7kOaS35dfStU9qjYoidJWvgWYtK6jliHphGqZZrjGHks+y7hTDCxNqtmFIiGxPSR9BeGnr
pJ1T34jCi76YGn0JEymjSgiBI8jlQ6kToohJs8EX91sb9ese4qVEsAh+QtYt+xTDfVMiJEzbpmYg
NyboY09PDvjgflMTy0bnryKEb8n6mKmB40KfwP77wpP4of4mLKYwyQYLrzIL9qR1wWSxi6vbZoQn
3GTrGISxm/g/1ITX3777j0hAeojfvKp83z+8al+lXWXoinJW5+IOQqHOULuA6DY+hAa1B+zXZN05
5r0V6HsmrQAMSPngrhiltoy6vWiWh1KxT3EHdLnNo03mjtpnJ2J5mKvJe8vJRy9M56OdGY9WQOyG
lulWz9VUlH6/2IXvVAo8DGbAa7uY531PbsHnski6jbFAiIjj+EvGterXqhV5PIFnr6MbXw+9e9cb
jP55Hr4HoSb2eahfR3P3FR3ojkPpXds0G0tC24UJ0laNFD9RqVAY7RbbeenVdY1Gz2tGE8Er5Cog
LmjiY1hUegh+yJ2PXPTPdUsGUFvF+8ZQ4AkY76YluTfU9GB2rJablGItDkj/S7oYKVpv7tMlOYoR
GfwcCE/PMOHpQcpTVr0fpNspTvKzE03bohn9IVi4glU/7ULSPfQKGETurKolAYObBWcWnGtwTDut
lIyOcLoDnkUBVynv+g6FuK4TcbjYHetSBOtaX36y5C5azW/qig1AN3XIaA5MPRWgT+zMCgaQlaa9
L+ZoNwWIO4emv6qYa6A7NfcNi0inhlYREFBQm8Y2rIyTzSruN5fb765xWYj/cLWNBiWGWLjaklNx
HV4pm/pYfxi3yx6s04ktWrT+IhjPH7QzBOLjr19cUsh/coNhKMeLzxxQ5sv9+OIaII4idQzlXHnm
qjiJdbVhDKwdlXt7o/rq+4uyPt0PfsIe4xP/ya7mk7o6xJsABsUq/81P8/rg+3a36ziSmX5ZtFHm
mxHYrI5sXbQkuorU60rPVrF63wy7X7/j18+sv78GrJsf3/DS5L0SRQQVl/VTCAVuvvn19//pe0Dh
AqnA0Jl4vvk088lawCnVHN7KdQ07qjGpOb89of5t3+UU6r+379ccwj+LOpZf9b1zR69EaDETIVuT
ZH0ZVPinBYkQdZpvGbTGTO2FcvSfzt1Q/zD4K40UQ4mqBdj/V+fu/oE1Hnu8+eI/kmqmf9C5I456
db9haUf5hDuenwKKIuDDN5c4x3RR6MGsXcxsJA8dUA4lt1On5yTI1sbS3jjRch/AZxF1l21HVK2U
quR8RAELunDrBgSaxun0vukIhtPL5sYaSsAu6rEH+GblE7aKlsSeHX6QxzIMD0EImDW8aImL+xtv
9Ro5uevZGoP+tEXmYc3L18wgFGzuzZSECefRJtbCd3SFw2bsHpcy341CDz3dHK7jsdP9miqIv1eP
y4AbQbBnl3GSyLCzD4XS06036lNctc/jIr46PIhRXqYRnfV0lzsTWOkJDtqs3DcL8Bg6YC+B+LEe
FveqsOb5CA/61tIob6YCps0UJMhtcBLQnjybQW/wDwEsDQDpBZpOTJJQKgJDeIQ8AcQt9S9q+mDO
1xEhP1h7AMACerQSVyKpuwY+BukHgHBVNsl4n3V2MPo8siXXO/eTFmPv9uOpYYlWDGg5pyLdcbbW
PhApgp2hnPoq5EQ05a7cCmGGB7KaopIZGgBFcUOJFo7dDXIgsFFL1twMBFfCrUfqWtkZvyoYaVBW
DQD/NabhvEgFO3TroVwaqKy0077RGMDAS/TuXR+Zq8kFlBi4gYkCYJxvuDaNFZIe1UvGYR2VVnmA
qZEz4jDic2CqiTe6fXuIwsHeTk04o0DO+tarBb2OEunBVkv7Z+GWDu1A3a/rNAh3mqV8HigeEDC7
VPgSqq/VBMkS5Vju8PI9AQEHW1ITX4bmRawawoagDWNaNpPs2tHD1KdPxBquzLHvwqncGhmpAunQ
mlug8U/5pLlbYrHw7JLCdW0vZXjgN0coNzjbTw5EE2r4WN0FpNvzgaEtLwRCaF3rSD3BUp9yOSnF
54oQv1UJr2DVmi0TFUdpjqNdjsdw7Jst6ZrxqlIdwn46K/P58AyM4eZzzHB6ZczRs6YY+hZTC5sn
lQKKTWyFsh3CxWc1R4sfkbywGiWaP8xZOdaVMfgBFmE0uEFhgYTqs8/cc+GhSQQm5yUtOj+iWVL9
SXemjTuYTfKcgSrbOZombgj6YTfKkO7YYWpAr1ThmVOnd5mihUjGMs5Z3U2R19UfgFqGa3UJulXp
jqXfRrDJhvZRCev7rCxgOoES9qN8IUsqJ4QxUe0cp3XyQSvK64SonI+ziwZDRGGEcsRxqPvZry79
TVwgvzFpIcF42/Xe7a0nBOYfe5WwtNABw+kqz2PSAU4s4kdwfQdkeQ+TNdpbnQzPdZY38iHinvlV
7PvUfS65T5We66LLnXcMLq5rLTpUWH0x0ZVX+LS+CMu9HzJlwuM1XXdL4+ydptmVS3vXLu57+s8A
pkwereu+AYdPqkIcxPNWF6w0QW4ZjAeK44i0uHGi21BtGI2EYM16ArqOprqgCU7q1ViIXVwSQ2wH
F0cfz8qk196suw53Cp7+gotNZt4V+LTc+HPiFMVHK+2SXagPyB6MXmet7RoH4lzoxKwSCIWZf3Zb
Kvpc7QsWyvV1OSp3lsyISGRaRIhmZjXJBIlUZknYMlViVjprU008k4JyDG9ymT7Rcrvc9PLmWWQ2
BVvuZNfJvIoEmshWpVa+zWSahSNzLXjC9NtWZl0oJmTqyiD/YpFJGMlLJoZMx5hkTkYgEzNimZ3h
yhQNqzGfybBbvNRY9giMLiqSs5zgDbMnEUQfVQEAg1QOXeZzkIgbbyLbJLNDpndgsSh3wiLRg7qW
jAsyPgKZ9iFk7oeT8NNGMgtEyFSQTOaDWJF0zcnMEBXA6nYseKemTBQBXEZeekLKiJKkkQzpRpMY
AmMt8oxwbptckpcT/t9SR/IX/3ups82eip+gHuUX/VnpaH8ASzQ05g+GK14imf+sdMQfsh/nfyze
BCLsv3YU7h/sDsj7ZetPONqLnvv7jgK8syP4XvxH6gGsf8TR0qzXhbasdEyMZxbfkwepIb/dq0Kb
dDJbTL3jXkTeMGk3taWCZ1+GxY2uMKTwzYj0q48ufewNPPzCOuRDXKyXwT1xYJ+awk3x8qSfU3J/
JP5mEF24mQ2DrHtag4l2Tl/2BU8Avx/cGzzEzzI/aw3/Fq+S2Cq2WIdtjJEUQBfRFE6B+adSdkqc
fTYbMlHspDyFyXiTylQLi+IAM+7OVgXKYYblOgEYJKNAvEvmLVlOVwJ7Wizg7CO/RD+qzrtZYw9Y
KNrnhGCNqR5oGB37gWCQPWORL5hVzo5LJJwMd7EeJdewk0kdlVk+sUNBmYNAKXFJ80hlrgft32ZK
VERkg7arif4AgTesR5kGkupK41cyIYStE++WzAGvLZd77NxncolJWgVIRttNzojArx0ZpPjofbhp
ZBaJ1oS2nxBP4hBTkrbp4NUyuUQr+8ecKBPiA7BklhfS4ZAx5YG5yWXuCTlP+zGGb+zGjKA0+C6e
Csh5VcrElEqC+DEm54yw3FNFrEpupvs2rAm/EcnXOR8c+AwQq0k6/eBkIC/0cP5UiB4OtKY9d0I5
aAS4gKE/JTLRJZDZLsNLysvYj6dSJr/MMgNmIgxmIRQmV4rxgc/zCNB7ya2zEbdSAU6YSHJQreBu
lOkyKBiT1tM0t45ObJ17PEaxnESQG1dCTaOecOuridnBPmtpdzlmo23sOM1EzhDIMWEr0cFOS5wC
yO73/F4q1TfQGm1Zy7p3Abkq7jqbtalY1SVe7QF98bZqTCPzsn4KtxqMzoxhYsOYkz0UyBnL2SlL
qj78+zhUMSfT9P/qcXh+ar48ff37zlZ+1Z/PQzo/U7BhZWIueYD81Z/PQ+0PYdBvubRysi2kvfu+
s2XRC0redqDRcrkKydL9/jwEZmawY6WZ1OFU/8MoNnq8t50f3SUPXSAYPGHZLr/p/HRFID+t0/Si
qUbXHPDTVzQo6EwVrhbC7f38xZHX10l9o9mp17MeZVqxm/Z7NSBLTVKsGLwlWPtI+CQCGbMfnpjm
qE5c4g+BBNtYXZGirTTEmmcr1Btsp2ZCtFolTIalgCfAGVwmJRvwP4hPxPTgLW3SYwVPh+hHhn4Q
djAdb3lKLQhjpw/Qx75asHgqveQb6Eu1CycTOKxDd9C6Nx0En6FEMpknufR34KutaGvfBxB/qLkx
y6szq51JuzhQgcY8kd5UQEGhRAZNjYPto6IJSsmVsMSjIfFCY0k8xSCRQ2VZDz5M0mRX6TmLQjae
6IIDCEJ19NCndYcNHHJAmMKXXiRpWpfM6f4FPz1KEjX01VClnAfMu+IGZxEsqdWke1DPSZJ1K5nW
qqRb2x2ca0sSr0vJvoZwaF5iB0ZsqMXaFVEah1qysnlUAglp8XtYNVPGhtXIJnrBaw+StC0S5z5w
YW8TEgO4J5IdoSRzg5wF0p1IXjcBJvrRqRooC7k7tyE/Q1HHB8NWLG3vpq2SboTUYs92qn3Wat3w
+l5Z2XWSnKOhX/WBwzkCwDYqCJkxwmWjmjnGAZfj6iW/Sm/SJwB493WbnkoVMhre9W0G+GiNxOXc
uMoZXTcXUh57ZpXdTlFxqETzKJT0lIxsm2uRv9PhEKBidb4Y2GNFaF9RWINyijo7BRc3YxvQ9UFP
EKlFyXJGKVesVJrXtMIRpRtDsE/naN/n2IOnAN7WZAnHz5fwyzKNdOuUoqvKRUtaSoa86RYwTBrz
C8AUbElMkTGgdq2nR5Pfa52MCXkfTt3kwak0PaYlGFpmtKM0/VcdMWieo5qwo0KSM1GTwv7iXyZ8
30hzfXsmuhQjKMBAk2LCWQhEmaN48NRJvbLNkSlzAxFgrliYqmp3REQ+rAEGCz9G/b5Sc/HRmjQO
qLm8G+0pXrnz6K6DguSpmtrXBa+1giLqAt+zn/Ig/IqeXqrXgU8lM5sqJbkml37kGhC+psJh7tuZ
8GmtSVZFObobh0sf2mroFWrThV6A54BDOCwXsF+JXaaHou3Kd/+eHy/nh9wM/fdy+vjU/KSall/z
/fSQih/NIj+csExUCG+gtDRxmsHhAtby5WD5fnqAnkXWg8IN5iVHzo+nhwGVFmeiyn2FnJNK+5/M
DV+0X3/twSimGWVyOMmTA/kP2p/XxbStVSEU76W7sgm0g4+FNob9NTIQuzbcrT04n3jWjZtaNp3a
vCSGcshbp5ejvlgkj7EAqUHWfdkDMQSylq+ZI3EDVIrZ29eV0TTjdTFWV5Wexu/wwAsX2vVib5JW
TiSzKPkIoXK5Ibw43GKzFJofMq8IGDGVWewJYyFysG7b0KvR3/RwEpUczq3WEW/9SIpuwnE1ZQve
JE/vLbrljSimWDvkOSrRu3CZU2Ub10EiQJ6FzHPY9tL54tufhs7ymnJMcBcwiBtlMzqkEK/HiZx6
NbWaDyQs9douRZ27+HqLVdKbhcvAJOt1qz5XdqBQChqVAn+kWqxzP7cRtkpRWnexZclb0a5wFtCt
sKGN0u4u1bPG9cFfZpdJWJHY1jZ/nsO2fFhGOSit6jBNGsSfpb0HNqSr/w73v9mR9V/eonefiv9Z
IYTpyr+XefIrv9+oDPglwosBv3C586Ui84cyj4wCVdisX74VbH+WeRiSJZVW/XOI/0OVh1NZrpkt
5LYmbe8/uU9R4L2t8kjulU8DUxjUldSbr29ULkDTHFJH4YDJEcSV+yEOxlWRWXgHpMEyteedIi2X
Cd5LlVpxzb1crUY0ZaM0aGY4NRdp2ay4Q9dYr8uVkIbOWlo7YzyeI15P0IQfK7U+zz1RuNIMSkJo
4xv4Q4NKfx/iF82lcTTsOOGlldTEU2rhLUUoTfy1rt640nY6OpiOGnAL6mQ/T5K/kIzVXQ6QwdbQ
ai3pUlNN2QuxYfWD0aMgirUK4CFEhySsMN0BeSBCqadBbLaj5D/gasJO2YPHfIFDmJITsWCGUrxg
Mj5WLxgJZtcgJcjXk3yJUp5wVLxqRZspj0LygRmAczhW8pgc5IFJ021jLtH9QR6mqTxV5fHqFtk6
lwduryZfO05gRsjI/eShrHdXGYymFqVRII9sxuIcrJzitjzONc71RB7wk0vhiiyQDKJyOFpB2x5q
tfiMZzlpSI6IQFQDNdSYhuWGuKnTMGVpYEOjn6E/RuCCbLYdBLCo3qQaD4VRfmCEXF6qZSpPcDXm
tWK7fmG7Fz2s9kVWXrUalDAstJlrHyYzeGBTpVX09/O+BGvbF4a6h1VDccf7xi02YQ8m/2ylZou+
5ue5d8IuPpBQGvoVv76VowWKtEznF5TD7zJpy8sr+niM+UfjxbPXSfseRSWmqubF1aeNznkR843a
kmihWqDpEmkCbCr1LsQVGEh74IL0ssYvqOBohFdxYyb2Hsv8Nh3ILZAGwwGnYefkl8mlW56EnGAM
awMtTTtSeCUmz/88uTcxLdoliElMjLl0M7rYGifsjRU2xwa7I4vYh7jTdpr0QSbSEWlJb+SCSXIa
gIGqGr7JCQOlJZ2UfOQEo/bJU8KweJBuS2UOTSpRGX6EFXNamF1jzSRCww+kV7Prs/OCeTM3cXHO
0s+pK8Zd3I+fC6X18/Zd02va2q3dmxAjaMVgtqiWAzZ8MNDJ6CVYRluso/GcMJxnyYWu7GMu3aWA
j/C24zfVMZ5G0oGqSS9qjSnVDbTSVxF3LNZyBRXlQrbTvcDGWrYKcMCJrYD5GQERtn1peA2jy4gI
s27GU4QhNqtxxqpi3tTSKxtjiw0wzyZ5QSIE43xUJ58H6a/VyfB1peNWx3qbZfwzrLjACDvMa/ne
waRLYvWRf7lgpcO/a0snLwMyTL3YjuY1C2qsvhEjQEKNrPAxoaIvzARqi7QGK+0O3/Mj2sfN6A4+
XnrGSc7HDksxXD4FaVTn6VoPYFXHVlo9zNKFLHJ0HCBcTo7obx2tBgMqPctNoz/EmJhHpMKZdDWX
jgFjLNwDjrgR0vc8L8PZlE7oCUt0ULA2QIm3izBLx056n4j0FKrte7uo1BUDs9sOe7WosnPE7DtV
+/s0N+4a6cPOMWQbObcaBu0Yo/YkHdvhTAoyYrFdJpBUYOrmIjmU0uUdYfduA3WD/pVkrH54IAoR
RjFesgGLeIkejPyJI9JfZLOjskfdtVMxlXdAvXJM5iMBl+6Snia323bZctNJN7qd12cde/pUcck6
OTRCjOsBBnYYhRejNvcdepLWqA5s7pALRx8GjO8mohza9YxlTbAZTJxvWORTrPKa9MwvmOchKJ1o
fggjRQPWYq+PIEMhefs4Ybt3s5DWdkbrUtZEL2LNN4Z4U2DVhxdxjG3n+d/24dv46Ze1yRkJ3pe/
lyXih7KEcERZncutPhEZZCG+KksYhWMkoCT4T3TFd92BxhdhkKFHwC0gtQXfyxJD+wOqCaN9nSAK
50Ws8A9kBy8Ztq/aB0POnSClaNRA+jet/w8So7qsjQ7OdXRd94np7Op0hNJl2heN3TDVR6jIKhnm
4WgRDU1GrIv0HB0AXffUkXuqwoa4Gy0tdJ9HCGRsZPXgE2LbRPUB9WTKkfaHTAuN/Gg6A2bZ4bWR
FjFb1dqIqgH2IpuAabWYCxvJrHUBiTArtWVW9myBRWUo4pLCjl8ZIidD4TrasUlqQT4kJgjNCRE7
MIfGTVgztYyQ6jFrLiHbbQoUFvi2HzqQt3nG8WBdul55Mgmq2f576b9c+iaLm//eOX8g/qX/WY6E
/LLvNTmeGEu61JC7QDN4tYrivjBtFw2nyWKJSBXmq9+bZ4NoUEavuGlwPKIvoJL/PnrVgQ4ZAoCQ
Trf78lf/4Op/rciSvTNzTA1LJfo2Uw5kXpfkk6qEQ9MU/RV95romJzFsWYI6+eqH38vPZKMvDtBX
dxk3smDXBZOIebb6NtxMy7qhthKjulJ7032fRjWr9BzlB14KGoZmrb94LEh/We442cIV8wgDFrcd
PlZl4hyQbLhHzc4Z7X5zbeDf0F+cHNaLqwOIIA6P4cXtMQb1MGwSrcQjwSMfF4ySXUbKWtgaVVUK
vxwziCCOEjKGi9ugeIjT2fVNZ2nYHhVfzMwYr2zZ5Bq9WmVrhNwZeNWAxVjGnFHJWpoJOx5L/aIO
mpmehiy5NF1KQDWbrXXkXgNDfDLb6mtRh5ugVd/ZwHkL+D2mYpVbofIu0P74LsH1bu6bU74P5rn2
9JTJY9sgy5/r54hd/1Jh/RbVc68Pd5kW5v5oNMkjm5jWc8O0PwMeba7q1rQOWeyeK7CJ/rKIlsWb
oj8bSVvsjCBSr4qurvx8CLD0Q4Fkk+2c0fRctQVJVovAXRHGi9h2hf1+1pSHDCwRytKIcrPrQmHz
FMEHRIYh3Yajom4y5LfoqJeYMLxvjA7Un+UU0W0bDorf21rju5M6PRhZTKi3IUp0pWlP6LTSzKSD
L7e11TlkBAAt+fU1JrjJfpBrvlzLBmEo5J8b3Bxc1q+vZTBMWG4omK8oYT+NLPLuljvcCat6zdR5
F2grvCN+vrX9xi+QjBob3Re7YP2fAMb/6iU2fyIbReBIl22arJPx+r7+OZjyjH3IJOUqEOEBec+0
TsM6WFWjIVaOnbrE8wX6phEWmnu6k3NoN5wPfEaQfPL1bM9XbqDOKxCgH6FMuJuWcM9N11WbwFk+
2iaNKRworF7LdF9ngAxFU5MdQXiSN42YVDhpcsiak4/6YztqxToJqMANh3iX/2PvTJbjtrZt+y+v
DweAjbLxOglkzcxkTZEdBEmRqOtqA19/B+ija+nYvhHuu+UIS6SkZCb22nPNOabp7miUWE26vmUr
ra1qhrZV7OIcywtwnRDC2JmsSnYAIwXXeoCSy1FFvx2e/Txnh8iH+DxKV2zrMElXrQgfwrHcaSI/
9ZLyV8WpEJ54o9luTf+6mtz93z/iXwUE/KkutkUITjwvERtpVf71lXVnfXQruJ1ndciTLQ8C9goN
i2FsgGvwsBia6vD1//4jl7nlp3fVn//M//ppKnKwmyEN2zN02WczaDzuaaU/t/bOyPtTWRMXCS3m
BLtGS8gg8plGMRFUoorBUcyrMna+qTHH9dAqn7jRNlVdn1DYbtRgfjfD+gXudg1ora5+9wv/aw4R
vCv+/kxepLJD+Vr38V+I2suX/jiX0cqA57N143j9j631J63MdCyEZMh+9u9l3j/OZSD+DAbYRlRg
B0DyfzqXbVrYMIp/fTM8rP/QC/vr246HmcOkTMuaqRpCtVi2/vpWxz2SS2lMzWVSBgslRO81SNtF
4SR7q4+KS2xYpziyo7NlNtuA0ORNPRHkmUP1VgTGbdr0H3yO65WUEXSu4RjZ2mYQ/VXK4k4Z4PkU
2pVTaBwANnkyQ76xObpSKS5ciT4/szHeBKF91UbKppyUG5IED/ZUPJkSNHFQfzh4MRvNIbhe7NOe
xjTGWoxRADad6BEElacY6g1dJeceihyYrrO0B2QpS3L7m7cmnlDqUB5MgEcK/6J11oxvbtydAqx/
XSNeALJuh647FIEFedg9DkZ9DqLo7JY4CqkWD6Pq3MNNESUJBqk/0ai3izhQ3GlaKWl5SbQEi7m2
JvTh1+3sR+rwjF3jOor6UzhO3oDP0wBHAwfs3JCfw8XXAjZjUzv2kMX6w+w6r8EIwcliCEmGvdK6
/mC2t1E4Y+5KfKJlK6tq7oiztqtAxpeQ4AV7al9LrAezzXfz1N7mTvdW6PKsOMU5Cuqrwcp35twf
sPzs+rrFMld9woE9mxqwMZqORWjc2pFd8dyodp1d4NXLxlPaQ2nSJi7pQfoqSuPWrWCxx+wXMqpM
e6W7glHtz+Gwb8h6gXS6TVzCZ2rwaCz7QVcg4FMGBMB+HSwQrihQa2+5j8dOtrBzazhxdEH5ZWy9
2lSSbKtabp3KhPkjKwQa3KA0DbxBFSfq1TSw19bt5I4zHjynSXYJS8o92ZYmuRjzzCIwgVoltkNT
xBuXwml/kBCpYGtsy5qAMyfEbVp21QHELtpiDXNJY09wgr8DsBwC8IrQaomACaoqEHNyq2v6NtXV
doVKtUsKDYaX5joYWDTaT2lo97Sit4Eq2/W6c9TE6+3R2IE2NP3Wmu5ig7mKCipY9MJKN3PfVV5Z
1ViKw/bBaTrWnBZCZZLRBOoQKp6Tz9EEruwq+r2iB+9ke0ndGpdZNzdGkzJspaOf4jA2suAjno0T
BsEnhTEqOTV9N6z5vZiHK2rIhRVCqS9v9DJ/HHuydtVCaw1Q2j20FBhllfEWAotcqU1BUXRb935r
uGec0gCzZPLdVbgUDgaQ9mFgIEt15yOs3Jdi0h9Yqn3w98fqW6otK18Sq6JCY8KnSFClIPRTpbDI
hkrbVVnjQ4++DFF+IFj1aMjps7fVQ+I6B9xi8Qbm9Zq6tkcmwDXzY32egrHekKVEt+oV61RmAUAX
gtAhC/i1/mVvMiiJYK74RvcRr3INPbt0SuLZ4wIWC4tNksp9oGTbhM44z50HfPKQLoEyXWgeeMMl
+SYN7GGNpMsAhR4EMJKRHWW70Gnor6jh61W4MGuhb4NS/9aBT1vxmPKYdPdx2Ler3oq/TaHgmyvG
exzUuW+xe6L4+01h0CT7TNwxUDlUgydBHZQ3uS3fgASXAcBL9IruYTKhibep7iMkYl9NpmkN35K0
VBB8I4TVsysIbN5fYgM/HJqwO/IR5ZaA74KPZcNFn78edQiqLrdDEBKgZFyO05g23LzeQ8qz+LsN
h8ppLzJneU9+DBev2I+M41E3PBaqeuhGIqV0ubqrWJnQbylNSiP1bgy7o1lE99pkUxqeQG5sEgKN
BhUHllSuqHLQqAhKH5rI4KaGqO1ndpX1d1GUFptmbMPIU8oAHbgm76UkQ7Q3OvyuGbHQQnWUrToT
IJgKJrqizWnK6vUDTVs31SIe2JrMbuKS0OnXEfzvLLLcQf5+FjmVxV8s7Jav+TGEsFknbsMVnJXY
F0L4D2UMccBi5cZNWbOsxXL6hzjg/AYCRVfRzKiAFF9VQj/EAYYQqmEdl2U8pi2VfuB/IA4I989T
CDWTFiQZ7Fn4O79W7z9pY+1MxqM3e+sM+hSOIcN51SJUR7XhKzIc6MSegx7tVWEbnFFuEdjlaVJz
6tB6zKGrqDPV7OT0sQpsEreMZUPEJ2pgrAOlx5mz5gEIkl+wB8twN3W4vJ/GnnI8f1ZDg3qBFDpF
tW+NhgmIKIElb/rEBsgJrCnc2GYDzlMWT2zByB5TZcEdFgx9y6hRDySGKbPLYdUp7Sbo1fuk0E9N
QQaCelY/mNRbup2XSgfOxDKojlWZH4s6uNJG+TjhSoeMUXJpq0DdV/ssDwMSLCzgYiuJvdSmNSeT
NmYUB5cmtS2koCW2U9u9pgehp/lQ0ITTYmmVC3nHtSufcokDj/rv+uLYiZHVO2kSKAmzYx6DICQh
cd2WxbQZLeBqVu8SreQjDI5vln5KdANyYzGvJxP7v6Pqa9XsuU4zFHqjM3xXDHmkz42+sIYbSh5o
36WsSsgZ7QY2yC42axaCWnaVODhY46Z57E16E5N6vGr7tGfNig2HhNAdY9umtnudOosAoCFNCUET
VHsjQpGRRnlO9PK2rkcvsKtjzGInkrjWhoX8w/k7EQUxpgorazT4neDplaVU7LIXGarwYCAgNBVp
mgXltdI7mayarEw3zmTDwxfdiUUYle3Zks6HVqGF4VNfkCVOS5dOtQmqFPuYa+ROEtxu52l1dxj6
IVnVavMUlhPvxNQ8TpN214VybUlsfInE+1Akt2ExXMUmhRl2TMGDNTMIkbpZVTSB75o0iDxVutdY
pey1U4uPMtPanVZRCWwWJbNZ0W0jkdM+lz6wJ3/MyVowQVyUqKo8utx0hjS0VydLaPTkqLcdf0n0
9Kp4VgFi+xQmbIcxu5OpuaebEA5oABsYdcf0pjahmVLVoyPkAc0X7qzuonF8KtDLiW91TzIYHzWj
vTdaFp9hQzlK5F6S1uSxTpzF7N4kpQ4QXcaRsSdl6ZxqoGjYj4uuvwMpmUI51mAjTuE+bI0Q73R9
21vzc+qEL7UJXVKywVu5SVyvkwFipaH2D0Os4ggmNeWXVnRQlPKg2u5rMbOHVMNa9/RSu8MotIkb
456eiK0iyusR7OVKxuJuQc/5TqRSVCkVKnuME4hnxcM4s5Fx9kTmCM6fNr3m4Sx36RTC8m8M8leO
6xVKWkCMzEqUjuI5KZZje0G8ZHJ2jq6KKxyjEYjCubmKmeRyuImbQKckHuAQARD27lk7XdiTfzQZ
e6uyqc+VbT9wP48OTU72w9LkRxq7t0DI7ZUlqoDBk4xeO0+fI2rCinxXAfdYNzzdwUxZtQuhwya1
HnC4EkTnrYMhdpVqCvDoig12PZWmxxC1S0P5akVdse6somCOcE89bUDkqj7STgq/lKQ/mqXM0qTV
kgDsZ0PLJTVUu2kun4uv+kt6MG0BM4bd9VFtqMh0pEJPbm/dGlI39mEHx2deKjU1PTlpkDwmujbZ
+h6BIN0kTXDMs2QfdfVdENWf3VLSScXs1URrp6VU99VS4ymQGFfqUu3pLiWfzVL3SSpnbS8FoAlN
oMVSCWov5aBUx6zMpS50hGqCDXd8dJcq0b4kgjYs9aLYx+l76wQfR7lJ+16FHQHqzZU6fBf6SfXx
Y1zqSu2luLSgTSmiVUku9UoaPUuEO3X4KuVjQ/TeI1T1qBvmR7SUM00pQw+kv73alu8u/U1Isp/D
UuhU0exULRVPRMKFb2bUPmlLAVSd29cDtTKhQOBTwlEBdTScTVqj+KeCdYku81InZS7FUgiU+mqm
jNfmju9HjrrvlxoqjKNybyzNVFXwLbJBajR0VuVji2VkqbHSlkIr4gEPYqm4spayqwXtwFD575T0
+xaF2eXvp6Tn/g1NjlUK+/X99////343RC3zzo8pSdd+U3EdWhgGnSU1/mtuGSUQqxMp/f8Y239I
NcxPwmW5yNzCb/nFfwimjA0iuM3/eJ6cfzQlqYsW88tuA7kZ7zw8P7Y5lsbQ9UuaJ+u4SMpSqpcu
ocPFLcikEkw56krP1OJo1Q10+nKHh8WlYyeAnlLGmtfRK9aUGHDHQiLC4s+/ahquCYaTLm4Ri1OD
j4ojq1MDtbwaVINo57s2YKnRc3pRoF1hpRj3buBseMqqfhWH274NshWlLDkfZONhLJqdEUfFPbo4
1/mqerdG51j21UOjGRW2FMFyJKzfs2lpBG7pJCTLupM4zSmIKqPihlAN9BrDuFaEdQys0V13o8pg
MCqBr2gNfYxZfT0F3avdh+9BThePPhXqOpyqeu9AICQPotx2uG+A+zcaHVeRu8oEE0yAM8IPUFc8
oLlYhwJiyZKQTuOK721s3URmfXY6NqHYDr/FurjvSrfylUT/qFJTrpm3Hhq42XHd7nsLLTyftV1Q
u99VGgvhH/FMduVNoSanFut8XoTHZHbvAX3ZYK07+mR19b6yEx4G/BA6CsE8ooDkizrzdQIsg4rS
fnNIHS8kD6QTqiRGQ71e8jr00cY3sTvwrMlHZzxMk0qDRFF9qk1F4KY4O3N8HKYy3Iuk5bB1MUOa
jKKEFagwsCimpuYSjg7m1BksW60o7GkLVyd35HZZS2FuiUknLlrn4urVtKWXQV8NFgy1giRO2DYf
OqPtimRreKP0KQ/L2ORBOSBNTPpnVpoTxV1WqfpRorvnLGpIHxZLPUVqhn5n5ummyIrqQPPxJcJj
7qmZcxmVkvZNy0XInsrPPDUEXoqla0A/U/IDvk7M7IJiNgNQQwogj8o2kQNLA61/saroEeR67zVk
gHCH0WZNSGjVhry4WZEsDUvzox1PlCGXbwzR255YxsEolBvNqT4NII49dJO+lo5XsE/yVOS/vQWW
qLLyg+zMtREKiqHSiyF66bmZS3FFmTypY/BgQqDbEV0CBanYZP5Dk7+2TvEvGzDF6am+rjnWe1W9
zafuoMKKr9PkNo7DNY2gz6PavJluU3paiqY0tcPZaWhhaiwWR6VanEz4dUj5yoEz0thaKisYSpJS
v0AVVWvtne0MPaHd9FQJvYcPX22qlrm27EgDT3LYp8EMdKZQz2M2vkW81kRoq8ArLMjapV59E0V1
cst2bTnUg0SiZd0TvHfquLGbmsahDIYUF5DSS5MeWFxaI2JkqVdM5vduNOGI6YSznOSqDhod1H+e
egi72yRqX5yE6GtePGjp/KgpLdh6HDQzWoE7uoiloLr4C/vhPIxMVOnJqcmV9LN627riZercCu9A
RJxFKvKAr1jZlzm6TjHEV0Na3xn4B6IqvXWsgnLp3IA/YwjqCwOb7wKczdzltJg2AWpWIpRsn+eM
JypXPPwclldr7bxSSjvFnMibeMKV53ErvCRlSz3hWGZ+EGXpSobyhjA5KClTfSfF9x826r9qxHIw
/v05e2lewXv++aRdvurHSYsewfjEaysgtPzO+vixFMHHoBnY3kwAHRBffzYrCKifLOUckyOYc/Vn
tqcgN2uRcyWLK2CGkkn7B3oEj4L/Omk55QXfH3Mzw5/QnP9e8VraFI+2GpDW0UB8zFnqehoF7UdF
1uqxsNulKE6d+hcjiQ5o5M9OiE7Mo/5dDPC/6FEfaYiNKEZZ10JNsL2zdpUJxXseCkb5CFsQ8VBz
1ZZWXCjzKyWJLdTiSjSvSL7xRwcmgNa+woT61w7QrKgBKCg32UQIHkjQGQw3L2sMSu6bxLUOXG7d
lQtns/0ibqZxRc41WUCcsmk+FQdmn7lAOs04oHUDbmfgaNwRlyukIhJ3ky14T6LtaCkQPzNqKioI
oPSUnOZ5vNHETG+qC5xNuTIosNMgh0pQ6J5pNXzoNbCiZTv0vt4a0VVlWFu1Uq6TgfKcKnCOUFIS
z1oApSEY9quiLcFbKmO6nqyEy3mlwBep+4vs2ouSSgfNHDzHRPXDjAt5HSHncJpbnYKiIKbmMxXd
XZypd8Azc5MQaldcK3U6n4TBda2uNmFlRd9o4fNsqkyhuOSnwchCdjjRp8154ekV5l29dFZoH747
ifxOscxxUzlUItj1rPtNk2+5FwJEpUlaoiCwArctX9eK6DLQFQr8DKOmQPPopFLeWiPPPGtcBKdm
Jdy+ABynUTyknLRZbFiqEW/qK+OhdeFoRiwimilzNmpG0CgjBAL5FMNtZVcsfRe6g6bQTwCBAw5D
O9GB9dNH8S8MMr/6cL7IS6DiTIvsOcg1gGS/jpCQxkY1ddvkrKtRtRHZqL/CJqPydUohy379Wf8+
/xYU+N8//66z1/eP5i+ef3zVj+ffQkgCYg81h8WrQDn4Q4/lEgKyHeqxhYsRvB9PzT9uGhDCyMGq
OolL8AB81Q89dpFqNaJ5cI2+mEvuP3n+Yez7r+cftxncWpi1sFPqJk/AX98mwzQORmfY46WTA3UQ
HbDdYbq1y4H2cje85FqdvPMRK1bxJO65oCfeIJTgzrHHT8qcN/TOGVyvFUCppOXVInNWuU3RDLjS
tyZMNU9mDKJQ+24N3LNb1S2D7TgEJydHG4kq+60X8Z01zE8RcHE6XRAF9MrwJLRNtp/VQVRtzndc
1Aa32MyZfsef5Y8dVmM8MRGCxgSe1CG8wcb6xOz2YFgaW+00/J60zsmgxkI15CUK211pI/kO+O71
SFU30KLQ84zhWup0HCGpWysAChiumInQbFYztGBR9zzQDQiPI5svDXDNxu2YsFIM4uue9fZapAE3
s4wBT+Q8NCvjvnE78qSu3wux7pGzVjWpRy/Opz1jh+F1BegRNKdH0/2el8BLdHlq2/zAMvsbYNjY
qxIYAIaIMUpP3LysAdeHKacPiiL3g2ZvbKEAClCjx1DjIe86CgVStKrQBEL9+7xLdPsCSwCbVOiF
ZfNYKuZb38M+LFNCXbNviWXrpe0hhd7oE+1joWndOrxCAUEHJqlmM2bZuTHcWytW31I5A/1VXW2F
SWppcRsfct14TuhM4Nk6ejQNYT/ptXblSvuoJc69klHNY83qYzwkGRfR5DiL4KGSzZnSsWPYYCho
s+zDUKIXOSj3Ff4BGcnbzrU2qqV865XkHfHTXJlkQbymCtnTLZEJva0/7Wm6U3uctGTwTvyYrsbE
9jkT/cD41CrIDzr/nLGfN5WNnU034ruSYkArWTaJoU19qE3+pihfBIAIAfKV0Ve+Gj19pbzJ8Y+H
hLmHrrzShux7wDvSbVjk4Tbbapl16K1pV1rdd3qvKR2OxL1Jmjjk0c+6okahHzskzkH6tuvCOmL7
5itR76wm4SxiffqYdLxIc6FQ4hvhhzRy/bazqjXeI6q5cyJvbcclilBheNb78lG2z9xYBJ+557yj
tXhJcUchJ8rcGSiQU3QzjY27D+CVkqFuJUZ09rNqPxpeX2sJwnnEKk+pPqke7NwrCsw70tBRkEzr
Lqfm+WHA3JSuTEjLrbsKcRHdFYGgO4+Om8fYSMq1ofV3qmsCRZoM6GAGFvyRPkEHq4JduFtE+ZYL
u+P43dhkB1pi7MUQuJQ4iedyMBN8g3zcsoi3dDF21iqSDXwwU+Csom/eceWdA9ZnVdJpJqP5+3L2
xnXo+MBTN+rY+yRzGAugiK8LsN4+AjMNMPZZGogWEJ5moh6xWUBbo70Zs/XG6rp9DDe7odEpk+V1
Fvcb2pM7j4gFbXotg9fQHYyoAG4K0C01SCROQoMtDL06aa5l3T+4qbtrhMH0EoxvrWU8lqX4lqs2
nrCg9pJMID/U84zFgZou1IVVOcNYQhY6j8HgrvBjAlyLsit1nLf8Xx01fCGBd+YzRUAYbmpl3Yj0
c5rrhyqxH6s6PjHYvdEzC8k0t2mGdQ9WX6qYziJB4GXEWNeFiqcG2psqk1tHL6744bE9Tkgtd6n9
kA/DyCdEdJ45OtGaGiGfvInhg2bA2p1iu+z4ME189Ox5oXTrkEMGoEhRd8umZ9/r2oHgz5Gc/FVq
Zg3rB5u2zNHCCzjk7krEORF/mxS8kdMjHKTdh0IsdlO6dbLpehcOWIUbNHCV9ZD1006nhIoU0Ksy
5VdROj8oE83Mmpzohq+Tu2mRgRr0oGoRhqiZTX0brWgsVUw7jYqPgktm7FhHFiHvMWBRL8TZei/R
nJRCf7B1rAsBbDf6HoPNhFThOyhVKooVLt4AmHi/qxJOh6pDvxjhROUZ7zX63hjbMjVUmkOjLqw7
BrJizXWk3bRB17ovet529unfiehLedWYM/9+Irp6Tf/iPrh8zf/OQ/pvYBiRNsE/4odb5o0f90Fd
AJM0aC9ha4yJbolV/DEPmUv5iK1DjGSG0vmGf8xDlgVay8Z5ZwlgaP9sHhJ/nocsfEdIvyqqMWvU
5dd/2k8DSNIEkArzkg5ZeAR1UAd3UqZFTe4tTrcj4xzVZ5yutWNic86yPTyF0TN7xdylAQmifNLz
0zjy0McE5KjYIdiIGewtVoIOdgc3DQgh1iVpWBwUjrqTzQlCXlvdWHlorsIuxZDmfJjJAASWNlwf
+MIM/QfEfyHHY1JkG8Whi4ugeX/bDe1eH6T1kknQ2G0SueuRzvNMLbHlVttRD29r7Ey+CngSG0sy
EOlodt2Msa11P+ygv4mFc5lrZ8+K6i7GzKGU7TcldKpjEZTHOnL3uELiveaO3zK4Y44SEVk1H8LY
kSs40tHKSEV1p7XhM9Uxe067daIGz8LNXvto8QUP2JTTbhi3bYT2yroOarDgZG8QTu3SPdaC1Vra
6NCSsnNNmQV98CEgfuO1ibpLNxefHS80SmbpzeUI3SGoDrmd2ug93c50HXbYzCXkHhAwC0iIS5y2
otlQ2NNhDpRvTrMclQYNwl2y70P2XbXdzmt3ijAdFHJFs6/lJWjp+lg/sz/cpiWNdaYAJU4H5IzE
Hb23+YAiW2mmz6ZxaykQ8jHBbXNHP1OBpjONZhF8/uaxCiJjLZpPhgV1Z6WWC9ewpgcctRcKwqci
WZDiSL7US5RmjuFvDXZ97zSOcqW42S41m5uMQdUdmmFlIAUkXWV75jKXSDWcXtjWH5zQ+G6brWC9
miBUlPOzgUxshgbld/NN7Sj3Q6M9j5S5rZqOa3BukDMYcYhX3ARz0tBpK91VY2gtTILxQzpuSbeo
GXpEKzeJ3r/DUSHqaIqNPaQ042r8etJUCBSx1b7hu9SvpGkCX8oXDlPnaGbmjwudiX+/taNEHmRT
YMZItwOmRGj1jk1hHpxhflI6g8Oa7SlVkssrPrPzg0vY+QAecfaB8Z0QlWmjxB0W7aZBvcx8GG4m
J7FBbDvjTWUwOclRPwiRCM/AIyVqvmaOK+WShPgjbKmWJHk5Ehsy2Cmb1QmslIjlPrcVZsq6jA+O
I+etPZjjuqQxeDVFI9Q9wh1jl787dODWQ1iueEidRE8BHePcDWS10G+z5FxbeDh07Wl0zOmu0QDC
g4XBeFDn7bUgbqoFTbV2KMZALxfpGtw1djsqrTFscJprfGadhZqZ667CDKXOrAH74cwucS3D0l2B
zDmlOkFnt9BXfd2w8s/o3NDj9q3pla0m8IoMotkXFmhFw3QOCsLZAbuH45fUbKx0p2hedAgVK7Nw
RkrxBmtlxEgdxKgzP0abp6syy725m9X3WtO/JXlOXIRym/WI/2xbzGhIaZqZ2zJno9EqiQr9oS7Z
EC8/38DKEX0Dkp3RNhvHMzNE4o2YT8Hh3EQj/2pVMTdaWB61iQqXPOjWpUv7NNh6gpqu48nFiCoo
7RQduKGqxZibRNMmL3KWMzEc9GV3WzrmkUwt8dZK3cZm+qwOzbZX2rs5ZW7JMq45EWvkAp257RsQ
dT0TWGxjWK6qHQj/T7a2i5BW9n6l0LuhpQxvJ0fm93mbZFduNFwXvKKr0ojddV7isQsZrU08l5NV
bEajguzrfMhS11ZZmR+I4Mh1qFEwYxl3/04IXxPCcqT//YRwGw8f1Ix+/4sxYfnCH2OCZvxmEGLD
Fa6ypV2imj+mhAUdA9kLvNcXkGIRVH5MCcZvOEdspGHgYsai6v4xJYjfCPKQ+0IqXOgwHPv/QDX+
SoX8vJ6F8WghWjNs4PUX5EZ+HRIivRjMgRTTqSnrurKvlEyZeKwBhm5z1ac0Nb1ARRQpBcoBSgVV
mPNGw0lkM8/DunLA0l76slbwdkplb5qFOPUwff1Rb4tjHrj5HVfz8dJLo7paGB7vXdiNB5a06Z2h
jc3RKDFJe50Ew6DHxq4kirOhE2TpEYBm+IK+obrcdxiwm7HC3JRheNbwFGeF+TagU34qIp5v9daK
e88Fs4X9U4N84OD2r6zah2Khc+NP6FOPoFDleR/c62Cdb3s+U9GdmpikV7CyaPW8nyuM6KsGHZ/U
lgZFRucP7FUaj1lhGRrtOrBcy+mVWXC4aXD4jypWGt3w0WsG9WxZ8GByM66TBwXzLxesIbVtqFRW
3RCwF1g+zGGqX7CEiL0x5N16Rhhj1dkhJ08Hp6tobli0c54TrnkcFlmd6hoU9nwR24n7orsr9aLB
T3EhxHbSqCuZIrB1fjkbt7PWDvZOX6T8Ek2/g4xwqCiamE9mUnd7p3bi4ZY+BG0zNWYBGSLijTme
cpecgvK7YvuvirpQ+f/+iXD3+t685rg1/sLZunzlj0fC4tlYUO7/ewv445nALznA/oh9/+d+8Mcz
AblUWIZKVRz/0c1lnv/j5kCyj50UBEPOn3/4TMAp+2cl1cEagvVWNVhLfYX4fro5iGQouMjLERqC
gzG8j1HdhyhZV0zduS27Dbi5FiiyaQzPY5IfKyYx1sCOzXU/jr0A6JEfFI52G4bWWnH4LORTYXuW
GitHtZtfzUCfKf7qPkarbtc25c7gNoM73OfWib6ciGFb1JtKEqjD8rJO8OB3oOVG4CibGHd+3ukH
bK+fqZweR9z7tpEyieKw1/SdG6OwugkR8nix/CdkQ1fzEgOQqtGyzEGEROL+SGwsIJbykg7Kx7iE
COwAY4gcJwmaKv9eL1yKVFXOHZ9/HwAf3qp0xBTmWm/TElFYvC5etgR3hiXA0E/lY7QkGkg2WCWe
Avsr7LDEHuBS9eEpjPdWJW7r1joBrf2YUbum4trS6JYHvXcuUA1nmTzlNYg6lt1RYd4PS9hCTT6n
0KhoI9JvnGYi+cg+ej2Q0CiVjrrHntBGn0XZRna4hGsXsHVDtiPHMOZ3+Fx27RL8EJgdkLQJg8yl
MXv5EhBpAzzGMKlb3yA9kkYGZQGK2IINTG5NLdN5dmZMzBMqoRabg2+Wijg1SygFfvrgpXh3DrPS
3JatBOCzhFj6Jc1Cr6rfCMZgA2LArg/wBTwWoWKHJ72d8yccmiz9MnZevHzD7ElhjatBxmDiTeez
pTdaRuBPuoaC9i8xo/sSNhpzjr9jgLQVFvOZu4sNLdiYraVdbDXGkzJjCQ7x12wqYyxP+azHDw78
mKaLJW4g9yWNAf+aRDUvo5HovlL13AMm594txr3ITYisQU/ltJbtGk17UHrY1706irUM5gKzEaRH
9vn1ym7pJW0LglOwhVZ02pxkNAEi6mLbQzfknlNn8rqYUNadfqzuCVi8tVwnjzbjMPXo0UelEXmd
Dab52NVIP5Ug3FXSLLliamhWXb9raOrb6Y2V3dVWnV2G0i7uUx14SqXFEWm06r50Or/rLATbnsMj
jM2dtLhZ9YECE130JdmX6YJYGniKaKSX4xJemzE0mc7SnM3E/HvoJvVVBpVXR+MjuZzKEwWpWoDl
wJ8Ml8oBaSh7RXHHFy44YKjmOvBjpyu2OKfT95Q94i7rR65+tXNIx0juhplFQtMRQPObGf+ohX/k
ZhRacBWFwjk5w3RuOalWLvOFZ5cxn0zuohupOtLvdNrfFGdmUtcwlmBimtf/TqhfE6rJvPb359F9
X9J8UvzFgLp83Y/TiDAFJDONMCeC1YIM+ek0UslZsL+ziVMAsl0kph8TqsNU+6UtAejnt/ysY/0Z
jfsPJlSC4b+cRs6SE1dVXIoajHGOtiVW+rOOpQ1mkytlnl9mMzoITVsEBW7PWKJnTFTAbyzaLYLs
BJQg3ZgC4k6vbeOqu0S9Aj4rQe7Xbwqq1HuhHca2ek174zloM4/b+knO2lVIo9ocWVwZlXLyIrAK
7ZTdDEGQrq08p5nNsjzcWPUKt3PlzdpILGGifT1LKVhx8q54KkV07PvSuSpEfu1E3NTcEsvYbCte
46ZvFtdJLLjY+KB8NehnlZt8GzVutWVhXRwTR5DeU4iXkgm89Fb5ncJw1isyQvOPbAuXcartzcm5
6jp7LwJIq5P8mIz5RCruLQva+3GitjNhK1la/dEyF6/VYF1w7R+yDhuBG5kPtJL5c9m9jJG1aRdZ
hms/zQiuc224zZESiksypudkTDaVogWkI8bYS2z8eFqjPLlcuVkRVL5qJldRM+Nnquj0ctNuX5js
7PKUeEJkuflGSdwXaefXXCquDGi/56q+UUuxydN4Pdk8rk130wt5CwR9RTdDvBKN9io0br6Z8m0w
gqf/Ye/MduPG0mz9KoW+Z4LjJgmcPkAHYw5JEZqHG0KyZM7zzKc/35bTmbLTdnU2+uJcZBUKsCtT
ilCI5N57/Wt9ix3QWnRdR6QFQpeRZi+kbG5LBVNyNuM61Mb4YmLnD0q1u6SqcFw2icjuKnNHf6rT
ItOgehiV3V8EKjndgTKIzMLpMHX9dUg7An9mEyGadNlW+V3H2/AZhHhJpDCsHIqNFeFIrB3NK9Tp
UPX8HuKYOWWsOlTZTuT4J+gakVMchsF/NasSSoYQN2YhrhQiQh4L6pnLOJTQmx0iRQGgj+rwSrH8
HUdz88wqWpJ0VXzj+DkqDXXgfnaZhclrnNd3gUu6Dsl4gECfiG3pawNROd+hMWIMPFvX14Ypp0u2
DyAwStYlZaKzK4OzyUY1+22i4+XPu3Fiyti94VQql6bAH67a5UNBJYyrlakkhtGmkSLgvRNj85Fx
ntHAM1dQ9hYzNOAFuNPyfJ7q22pOrvyyc0g/xEyGI0WjhYJJWdbl5Hjq4qBi4D/TcE52TvMQCfvM
Mq2rvC/g6Ucupe3aPG+yHOdJTgHO2p1yrkxDfyrz6trp+cVbqMKTNQM+8ZlUKqidvUWI17nqsKwM
Ro6t0vd3NqLZwuKiX1D5syb0ACGMyhhSU0kDOgKZL65IzCrz9BwYM1mCBu0t5RNdtIxK2l5ZQvxc
ERokI5Bm0ZGo1oZQZ7aakivmmIzDiQQG8zOevue2FzfB2N8kKVuA0TlhHUy8ISBYPehkO41IuZsc
JV+0qb2SA6Rw6sWeUd+AAItJv7PIqOYK3Ho/m/bIfKuiLE0IQ8RWdFIP+ticp6pyPqpkIojV5itk
3+diJvBQtjiSRDbx64rKBXQizth1gYugGq6hMRdMuwkJwM1wPVrNeT8ylDF0XIH8/591GdiYrBSR
WoY4nFS5qjr1rZHxDlNk0b4g8VGS/GhkBEQnC8LA62iTDWlippeg/sxVLoMjQsOwJaMkPpkSxqX8
tmXMhPamHOAFV1NHBsWUYZRCxlLQz1FIZVQlJbPiQ4PcUkH8XImIeikejSb5loqdvReSeJnb8NjI
4SNnaLJApGI4PgyLwCxOFXmZWOZmZp6V5Gi0gEBN8R6tKeznICg5zIZ7XYZvhohUi6V2t+DzNI8z
smxaIu1Uy9hO0viPPTmemjxPKIM9QaowTCPqQ4CdoirSP6WMAdXkgTpDKZaOrGwYZFiIEp8XWQ6J
88krSBPxoNsEFYkknZwR2d+7hNxRXRF7TpPu3pSRJE2nKRbXTEhZKYGl6D26hIWOrRRxJsLbu7qJ
r3NhbGYZePITFO1kxKNMJMp6z0bJlJRRCiiH+l0vLocGsf9hiA5maFzm5Kmo8riLlew2ImclZOAK
qiGWBSJYpQxjqbF402Q8SyOn1UeCW1tGtxQZ4rJlnCuVwa7IBF/iEmgr06ve1be2jIARcFrNk3ZN
ev0QypAY+eF7u2XGo1btvmovkBoWrQUCM7DhcsmUWSrzZjpOBc+qo3t4wRt0TNoHZTqNs8C5K/Nq
PQPNNRTKGJOdgV1a5tosAm4DQTfmHIrXMAZHMi4Ct+IAY+hbqnzfHKhf50PeLsySiivLvo8x127Y
wAOmbKt5utBCNfLCht+zPVGkEDgtfZa+V/D82vvt7B41oy6O6qzMW79pzR2Ivou0Dh3nuTOnaTOP
YDFDDHMrFo947UIfyiztXC+tHU+jvaDMljpDnVkDc1elNjEP2CVPiJ56CrNRtsQ6L0yzCba0TL4Z
k/rGKfeFJYcCNLa/k6osM8de6onKj857bAytWCZj+oluWYA6QbjRVaSo1qckJw/EQzhmQMU1GmWH
imm31oBr1ZnH9zTFAmQ7BHzY5Uur7jXTv6IHeasog04C3j4a5eh7UZdpXpKqt3z8rOJa+laO8b7H
MLwugRbUjdjETtMsLcPO1/kIHX1iLM0pEt1fq4aHvMXEMKbXljktRWrdQmo9TVXcLsSc7AZTrOso
PfXcJ4sGrITWliA5zU88XE+tO+Qex0lAk6K6guBK6XZJ049JaNzVmov3GlmbyEEuOJ9yED/adL9T
5RwSpsfsuapHPBQ891MkxRmHiYBINHLmLwUn0KjQn2cOWUzuh40dYbUEIXTBJveBOdvZaKc2o3Vl
pXHmwyZAeiFe94N+VVf9gTt3a+uMGaohvC3npvRonz9nhnjjJNoZ05mDnxb3Vqk9DH4iA4z2fYNl
qYC+AXDDpbNLwebhWsFdNoHN0XBoz9G+NuvzMQjW5aDTrBA5CPwla7QibulnO5+pPkCUeElNa0/A
MOXXPp3hROm2Uz21q3wU55mGh1RkPAiVcKNakVjSCLpNCp16+/nQ1YZBMelc4zQS9/GQZSfDV2cI
vI6yUIZaX9JJNqMxuKUHIslYWFk+MXHASA6Ra9tg6lnWavxiD+xhnLE72WVjbNyabj98q81ZVtWE
8WjyTWPSvwUZgyT1lY2bDTF7Tr/l5rJSAPc3WFX3IrKzDU7fHRMsSjrT0ojFYkbyiP4xWX4JZsn0
08+PY//F3fWjw5j8qg+HMWYF+CiZIWLV++4wJiU5/mMCdGde+fEwxpzfMNQPFSZ/SoMY/lDzwES6
Ekav/Z1xAefBbw5jEr1D26vLG2Qeyuzw+3KmoLaHGKxrelS06jGIWjw7JJu1ydqlWka8iNxzU3cr
INbMIkl0GsGZO8HFcrD4+ZL/kEVEOMide7WMUgeWuuZ4cD3IkLVD3NLrg+lMbf2lUAoKK7X2jjqN
0kvJZ5N7Sr1eqbdp0jxnQvaJaeYrYwOWQiXDJGiNh5G8dyKD3yRUpqWKc1FMvbXQZDwcx126rDNL
0nSppbBljBwhRnitjJbnZMx1GNxLndR5J+PnU9A+GDKQ3pBML1SxJzNHjpgZ6CLoia/TkYwFbmZv
S7J9drV7OogDHJzMgsNQGfD2EISPZSR+luH4TMbkbR+STbueZHy+oocPRjddKWFw3tr5oSRpD5Me
M5YM32e6fjVEyRKTe7ZKyOf7mn7jT2m7xqCULXB+9ItWxvlLuTvm5LzNjAnx1SnvHRn+F1QkdwGi
VxUF160el09qNdxNs4kOBHqjNEiJppxl5d75CV7BLsqTTVYOjFo7i8ExXevg7WCmUWR0Hgb6nVGh
+XbRcFSEKVbkmualbs3BaqbQggS2Kx0X3ZWhhK/sQgvA3rRIdUlyKMRzOz6X7rQ2S/HcTEax6WoK
5romIPQ+ZMUdeYX8mklSmbxFwfw6jOD9DLVd2V0Jijt5X8Rpd7rwub53bJzV7djqxVGvffdoZlSk
TGhdptvJDazYtrXcwrzvFpCyLox45ikXyd1EyraCSjqqDdhrGGw6qrmnt+t9I1K/b0r+kZ2+yE5o
ND9/zj0W6Q8GIFLX+fqUY8qBrMOkQiNrSg71o+SkM9/UVSYPtlDfQzEfJCcY+VA9LHI0mizE/TgA
MTAzCQd5CL6HnI38DclJd2Qo9eNUlG+gCvQtyffHLuQyu/koObX1gDlJj8dj2frKokRvpeDoptWZ
0MdSip3p0byJei096m2WXTdSslVUrdt2s69x1Y8ggaSyW5nGhQG/jOxLNkIvjN8MZoVeKyXhEG3Y
lSJxIeXiRArH9NWXHvk023M7vwBt0J/XKkJzi+LcR2FxpHKM3Z6Uo7UAXEDHgHgV4FVd0kh0S84z
3aap0VFTSqMpOHUDhTuokLpHKXoLKX+nUgjHMfik4Dbcumjk8KGj20rK5qEU0NlJdx4HuxF4VKof
I42BLIdVd1sVhXUMBtzlbYbmMJTMHUF5kDjJpQod2A9FA9/CLHFL51121lXTJnGVxwHTPoo041mq
Xz0rJAramTDwA3WlB/0+qZUDyDFc1tp5AWtkobZQMdGxaNpNwierN5+hBowLUsL3WJDumV2mK6BL
5M+D6Lo1SccZqSIWRq4xYQqYZMwARRWRvVFHlOJYEXtR43vHgMUG1YpxeyoW3cY+09vcmqEppLHn
ivK6UPwLM51eCKluDdmWbJbGqz81J6WBkZE4jvQhMXupBufCmF0iRP58YRX8SttyXEJxPyWZ8aIb
9f08JJ8Uv0QwCekcTcejGJjk2OgDIE2gdbGT39G+aHk0wDVLqpqPzPtbT8/MrWjEWTFmzqqwDTgD
WvhYBvMlyYtDXIFLV8aZBvo8gamEJOQJ+p+dI4eR2Hhh4GhNO7ulAxjQ1EF5t9rVWk1zrFU3i9C2
3hSMKiCSzIWmTGuKtBA0pWtP7dN9L318tnT06Vj7AE7DGqMzidYlDTCo5USbyUpAgIC1a5SZDTdl
FV7v1DnmpeRTpSNx0JA0QfWihIuR/pqwMe2ICab7HIrsTpmaigWaFMXADe6pXKlGUF6leT5yZZs7
3FsoOUmm3uShDzXONLdagakNsRScrCsyNqsDcxMqo4zJf5smCl0ZLO4Sy7qpW/9Jz3NW9IR2Rtu9
QHVJOcRYAjhbpy7sVOwUpzaPnG2LBQzU1mOUItZjbV73CTFSv7XOoHSUnptPrqcq1r5Ou2ivTdgG
zVTbYbbit9SSXTMeGs0/KkOwHmboDia52baqo8RDIN00U8LOYAqXTpW+hKm1doqSW53bpCztkQ82
eyrDZg8Zp9wlCiyUNNK0YziUxtKnWv4KHSPYo7cwyXH8i76CpUFKbqVT1UtcuOc6h0QKfGu8ZPKP
f7Aqk301zWTCdN3fcmbnTNAU5mYKfHepKsS/yyo/BKFq00LTGftGBPO+ijVlYxaVuiqq8lIobr2e
k2mvqMEDmyjjpMccrXj6JTuF2L0XJuVewQsejIG/EnH5WGFq/Nzk2dINuY0v7Th+m+OZk17uGm39
zznh93PCL41F/5U9vxY1q+V32Af1g6tIhrEYyjCbZ7V0wGB9GNpIdwHTnPdZzvtg5s+ZjY1NBDwn
WG2gD7Lj/s9jgq5RA86Kq+IEkk2Hf2MB5Zzy1wVUc1VbWplNG+awXGA/OAiKEknamvzmqKbGDUzm
a72xDpnZXCYjeiVBrXAfqHiGNHMLXw5mZJL4a79Hp2/HzkeAgs5pT4QnAGxeqcATkW5QpwcT7aCZ
tctWhVNounyvnK4Q5L+SFryAOvQyTK9rm+fYnJOW1IrxXKnUgs70mAP03CueQoHK0m5twJq9rvBI
H6oLNc9u4G9hYO7n/CzWdbkA6RVpEraoempvzAa+o9MXA+ZleH9znd+EudQBFXDVat3sqtKCQNwG
qybRQHCZ2dtcAftUmZ+kurUtDOUaloPGrKEhnDrDPLBQj1yQjpXVTR5NVau83sXamRYYr334XBte
6wZbFsRgOUgHUjV3UvhKMAKmY7LU0TdW5RQ/04NFRVZbv3bYqtBpBhJV/EA1bXpN7ZwmMNgYDVbK
fNa12n40nScrFrtCjU1a6SwcXjZojaA+RRBVGayR8UFQO0IbSMl2dSt6yviVGFSHtUHQ7GxZQk86
9UoPBvPSVcJPo55fNrnTIa4YJOO1UFvrVUHdut3Tqyg4CpZ+0a7SRKabEmIgteqcUR6wmzqQxBam
Kuq2r8YEHU2dO43kcWZ7ToPRgWkSrCoVdlZQtf110KqGR2HJfaAwk2GAvKnUGDqffYMQ+6wpQb7J
pmTRcmyA64clSqIW8FAhLJnldlB73RNtxfyQn2Wuq41rULOU+Fqunkqzza8ht/LCrJQl+IfZrD9F
7DhwpCsnLvBnt4ggY8QY3cNEe0BuOq9DkriKY8bLaDDexqF764l1rZt2xJjdOD4aq/WCsRqPGG+F
+RJgJtxz1xYh2UPmqCy58WM5u4e5woxhUXhDhfhZRUnholEx27cBzJ4i8XEAN81FG8/cPv1NGPgv
VWg729xgT4QufA0wjIGS3t1Xhr2j2zLYOlaxjyb6f4pJZGunyXcisEAiquGefhfaDuL5mu85nFVY
/7zRLYpVG4CXyKMZMGadJ2sNhsfaGA1GEcIXuIHN+6aIa6+fmcs1TZ7vGx3ixKgwoggnoA1pkzKq
HKk6C1RfSqRhfYqxACwG/Cgjlry102V3YCFiUgHheuwx+TZ6QejGKPOVn8bdqoEQyd3ekuuhqh04
lwiJFHY7dQZFVDkUnGh+uhG8l0UljAljM3epg1+5idt5UVTw3NtqGyuCBh72o3GMp7dMGVjNltl6
CjBK4tmhDRweUrepYYjmD4ppnWLc1wTBbxksHqy62xcGjHGzvu7tHgxmk21ChZ7QPPNnNqTaRT92
t5FE06RTeMrM7jIJsFAkZB+z+aHxiQUkRO8WWRHfiR6b0qhup6ah90gqk12ugugoDPR/gJZNtbLV
ulhnk9PA6h7P/dq4TPIpXY2DtrL1cq93JLOnpvtsWv5TFGhH7JIXSl+eqthG4+ibF9+3QFQk80Ma
cjoH5AT+Nc6emgwSoD+x7Wx1ThiheRiVsiDaxFXTvntyDGnPid55tC6lZKuwGPeuFRXLf47A70dg
gyXt50dgSdpew5T4FDWffnAWll/8x1lY/013NJASqmXjwpCy3leDMDEijTA1+1ucwF/W669Luf2b
q8PfZjn/46u+LuXYL0gdSUb2/wBz+VcroGOb7CX4L9/UlB7ljwu5laqqE/v1fJzb+wpMvnQcffhg
fpDul9/hz7P27/YOB3C9qaMrYjj89hUwC4lyJOhybEaWY5WxWLRorNe+3/76db79Sf76OtJm8nFL
grrPVt3SjpYslqnPBvv11y8gLS+//EnQJz6+QqBVlJWTFTrqo73ozVvb/VzgdnIVLNT9ik2U1/SP
JSJBdGrR/7ToLQ7XQXDSi0sWoGAoGXTh3ghWeAOYiV528fWQhcuR0/av36km9YtffeZS5f3wWTDE
9gm7ys/CgBeFVbm87wDbFpp5HEjf4nwhJP/ZhggHWJuh++/M25/WQLxnz75/AxplFAL/NhDX9/3j
hzdAoERre9WejhMnTxQTCu/PEnTxlnQSpgrPpdK+28UOWNARvHU3XGlkOUlhF1T/qMrsEYuBwlxi
z2alVPeD23b1Js0e9MzYD77Ks1BXYu12ZJXfGIkb46HAHJLH8aoW9a7ssLj1FYOtadm30yacj72I
VlmA9oqXHQ7kpmaemuknf44BpPJgZz/U3DSBc260KcRCsexhT+hsEQzL8uw5XUxxuUysG/iXFdl0
NonYvqNJ8zqtg6knx5/bqXpo6J+YFIMhVX7QWvOSfuZ4zDZ9rhe3GZUNpTEbpE1uWlMsTQKvcY/O
bUWBuSQAQ/LIycxVkaSPkEVQlKFwuJbfLJPAPPv1JWL8YAf/8cY3v7tdmIixsI7NfFQ3xtbfzWft
vbFxdvWxWWhn7bby6hXYSW9aG96+3tPKvBwflR1JmI26gb6/jr/EUH9+yfybSxbJ8OMla6YQ3TN5
yRbJrmA9Hpbs1UAcqv/mcSQv/e+vTPZXfzyOvnvgMYae0xCPzBG7Q3ozvlYBw1aPbJzwvV9/xNq3
H/GXJ9LHm+A7Y5vL+6oNN9KPIa2ep2TEb+JRzzs0KwJxwRGB6tcv+KMnIAAjAzIdlWPWexbkw02X
iWy07dTQ6fuhB2d+YW/76xf40QPw4wt899kxCbXzPtD1Y9MvOytZDMz6x39bIfODX9DHF/nuKeuO
rpgnplRHt2fvvG/FjS6efv1z/GhJ+vgS3z0eJ9ZqeDqWfmQax5R8WKjiyo0v3HD88hv5385JnEef
6qIpPrf/R37nT0U51XDn2//77V+bL38P3orlc/v8zV9W70rCZfdWT1dvTZfypV9uPPlv/nf/4e96
xM1Uvv3nfzy/ZlFOb2xbR59alpe/aBX8Wn6+PVql/1oWNSrHj7/w69YIZ6osn6NqxHQEaEtukD+2
RvTcmYwJSDHLTZOUMr5ujdzfVGGbwIJ00DLvAakPKocFwYZ1h3MrsWx2M18/iNOXZwCf4U+fSIgt
31yKchjK9wEdQQ0J9lm+77fPpCrwR0vRelQOOlwHecwht7BUGMSS/W3qkzLLw1AmigfLhKPoSqtk
a+MmdLIZ07rS5zAGpm6RzDl0P05ZCedZ0oMOI35Nx1IDxGadyWOZJdHVrdkVpE7dHicYx7eYcxxe
LKTv0Qn3orRvXc56QRjmiLuc323OgTyEAkAQ9g4j/L0vaQh9XF7XRcj5WoncraYGn3LOlaOhHpSs
uyhUrvFOHj3VOiYpZGGJKDmXpiidkzyoFpxY4yl99IlggP1oDiFnWrUP0nVQYT7qBo45gpOvqBNl
28rDcD1a09otxjdRiDeqoeJlI4/ODWdodzQeWPjyfdkRNQC79qz34WUoD968zU9unh1JEsPH621P
CTHF3o3xhCKjapsEZuLGYp5Iu+c6KNLLzA8xxFvZm0i11Shnj0VabjBdvNr1cDWIJNhSuQDTp2eD
lWCXWMaRIladMh5tig4wP+l3EZPOXo48mXwXi0CDt5LLgShy6CbtSQqI9imTI9NKDk+xPB5nOU51
1OkOxvXgnMaGaqiyHdlSpY5Zu2ch4JJZEkx8NjqrJu5MDEuMI805HTdZFLH1imIXoRYOipHot1j8
ORRLRoruhBTWJMbjrNqLMqNmobvpRBpcgIAmePFOWgmVZFtaxWqg4VRjPMMQxEERiyaa3tXoLhqs
coHvxlkYShsvjYAJQslmmygHWV7w1acg9rHqw3/BN3NjK8hRQ4yU1I1bFVKM2eV8xFO29OPxvrSi
V9vIzggZsPpKzMxQt1CMle7ZlAia2DQeMRE+KaXBvB1KzeSaBXJcvNXV4LqSIBuoYWtFB21TzcQQ
8mQ5gr3Jwd8I3z7XJA/HAYyTkZRXJSmn7zCOMdSAb5yAE+gB6miAdSzqRrBcXaVhezYB3rEA8LSA
eEJJ5Kngg1QgelRQPSPInmkA+1H5+l2QQfMJa//GB+/TxnxCpR7QclbC/kmAAOU6nnB7uBWSDpQG
zIRGtHGa7NQXTNZXQx1fBDI77ksh0O5l/+4V4HXgHzBPazBEwsEkzn41QILrxHAowRUFU3vnSHxR
bl30pnUMwRoZ5H5LFc0kaaYHq3OcTRxImH/k6h6POSYIlcKgaioguI3syWn5fqjBKhluf54Y+g5r
5l0n0Uu94hvS2rPDUR55XLDqgkzjVRMZL6VEONkS5jQLZ6O3sbFKJejJl8gnXcKfCnfezhIHFZdZ
vKPK3hsbRBqJjZJPXJ5SFBInMKUKdtgLvWrVdQdvKlCRpzS12qp8BDyTLo1JnMed+4k0FNeWLW51
YQK1q4gcSZxVP5XhspCPuDqccTKo1zrsq1RCsPSywVxWFXuX4P026w2PGkQqFjPgWYLrrZuDa001
X2yJ1wp05zzpQ38TBIqyjpv0iixcvagklmvS7Rc9spMV80p8EKCIJgOIVxbpxAKcaZ1E3WcGd/51
XM2Y1mrtJpcQsE6zo09lqFwICQgrGp4RUXQ/ED6qCSFlhJGo4x5WbY4CF5aql7xHlqJGxpdAdWb3
2XuoadbBD7ail5gh62A59Y0rVZda6i/zXDzh7IVYYPYGkJv5AbbOuLCRbbBbVd7c1SczSi9ChB0D
gWdE6NGk4oPveZ9SOsO2Pl11rXWJwHPeuUqzEFIvihGOHAQkVamhBElNyeLIs4jm7sZAbop8dZ8i
P8VSh0rwBvFu5gdXSlTVdJdZ4AeG+MT1wIeAmJUhapGsUFF4o3TRq4yVpfJFRfF1jhSmiWYPsedg
quNtrlOUjmQmkM5KF/KNwx9GqaoxY0Nfk0obbjGKIKT6lqsodDxj8euW2xyBrpZKnY1kF8QC24pU
8Syp5yHqoeyV8W6WWp+SDLv8Xf2TOmAuFUEmbNESyyyjRakXJio9B4PUEIMxWttSVXzfjPxvb8s2
b8UFcc/m223Y/9e7Mo4EP9+VeaSFmucfbMn4qq9bMl37DY430pKpA/aWSdM/t2T6b4x6SHkCOzVN
F5zphy0Zzhz+EfVT6FJIWh8HT9JNZtjAcN6HUn8LeqPbvMiH4xtbMpsqWRmFle2wDiOwb7dklDwG
iSJ885jMpQ2pThQM5fvQaP2jLogUZudKrOhbx7dTT+nC68nkzJ8IEpZoNyppA8yOQ1olq85tzWVj
ZepWHZJ46YxG7XV98YzpmSYRK3qeq2ZcZkbYcBAVBGiCyqv8+BRX7l0ZgIwos4ZUgdPQCjrhFI9c
kpZY03y4m0nP0QjMali30gXbHrq85KliR/e9JuDY5BuRZjU7BdjC8wbwBRFJNSMZFxeXM3JzIQp6
Xxq4aGkBarAl7eBW9BJE9fzsxvWlEGwguoznuJvqJ11t0/POnIu1k1g5g/S0YGNffTb84LmLccJl
ir1qp7dh1C3CGBikFQPXQJafj7p5X+YBEwkH9cJk7OvVBnPyhBTjwiiwnc2OW3taPx6MOYpXej2/
Mbted0V/gLOz0ZiRN2WxaYxmVdfFUo81zC/YvLy6N95aVrxkQFYnKaXPxllO3+0Mg1buP2sMC1Tv
ZdGN0/H8T9NymyXBaizimxTmCHugy7JWD6FCE0xGtUttZZc9v9IuM8OVOkZ1vmkVwo6OKPealb3k
jeQ22/6Z2rtnAJvxLaQ+1hAsmPWlNqql/4R/ONBXjVEE+aUyt1O5yTRiv4GaqA/THLvEYuDI0Hu4
HiVYJoIw4zYhjx83oGaGfxxBoalMiaORYJqsH7ftFF6Yue+slGGc1hUUm0ERtVyVHknb3bTzeKn1
2pMh8ejwbwANup6QSBwbNk6kj/tBwnLSEPJO1ALQMdnDODK7ZbEExzB2fFg7toTudNB3Jonhoe2K
uWXgHH2J6MFnz+jAWnZhCyJPYnxaCfSZ7c9aXJgraa/sJfInk/CfFApQInFAFlyg2p/JegIKqiUy
SCnCTwG8Nhwr07x2BoapbMQ3utI8UvVL4AP0UC4hRA40olJiiVoJKNJEshslsojuMlD4ykONoZ0Y
tEaDS3xLvBmpUwKPGp95DgQk3cHcKZFIoi32uYXJIcyIN0tsUiiSzw0cJbjaz33jn4mUp34yxRdM
2A6lRC8JGEz5kFL5aoBlihnE1BLUFAPR2VRjBltPYpx0eE554jzOoDKzVHZpBI+GBD/NCocj2lZG
ObC9taFDjYyHVWhRlcRGlfCj5rE6+BIo5UOWEqO/oTodDq/YhZCnFLe5DFXxVprzRQaZCvpS580C
WFUpsVVY8696XNkJPKugiza1BFwlEnXF3SOeGuhXocRg+e9ALMhYGYQsId08/yxt7/MYOZn4+dK2
fEv/dVHU7dsPVje+8I/VzfjNYulQyUGjH4C0/bC6mb8xnwCZZn71UX9d3UwdLq7KykdM9mtR2e+z
GFMD8Y0Ngsox8fcR39/LDVSoWpYsPnWI4pqg575d21q/Y+c75/opLzigJdGZHZCS76cvl8hPdQ39
fZH8RgPFXC5nSwyQDOmm/O6FFJ55dJUmw8myuIPR1x1zZc2Uc0YZBE9Sd1jYSOJrbXF0p+6sSspb
W6fxomT67Q1Z3K6SWksOfW25S4MgrGcAi1koFskemnMeyOBic3RCHvIS+x826XXJCwK5Tk8QFLkl
7JyzYKVXS0fpaSWE/bXIZAYNEyWTAUbV7MAlgmFrGBT7+aJfg9Rolx0ubOKgI48g815x7HPX7Iic
a8ZDaKaF14/WNfLolZLRO6pYF62MetJ9gFHNgQ7n9sAvM1qwXe2W2xyKTNDTMyQfIl3fXlrKDFWp
u3cdeiYC+ynIpsd6BgpACSkr1BSdOBAdhJ2xJbWtrXB9LGEcSj2jrm8LEWwjeRREWz6ADnzJhzBZ
9xmZHNHj2k6LkQoPypMXqVnkzCXmJy3LehxvVIc69dqZUotedGNZieSps7XbugmIrmTdgrDdFSTy
jUWsKxCBsgCkl/FGqS+hQM70Qt26Viaa2rOWlh/bfXLbbKVCuOmqsFo0ncl8Bx8I+hsIgybeJHb3
2aFdCs3TOlf6jkdknuXLio2GRvu2TgnsOLGzGUItWhN5OVVpGK8NY9jQJXQeBH6waDVz4/Z8tuFA
STag8n5ZVtRz9tYWGsRVkc/TkpjmXSQQlIKGYzYzletm6HYUxvfQI9RPlO1SqzlMd2kUWZvRmJmp
oXQ1YUw4d65f4VO86kPKBoIesyJ1d3ibCEQRGsoS6zJLnOVoF+LMNqh9FWn+aY5L2oua0EOMu2Ed
BwNa2cl26IyNjQKgG/7aoYKmXnGJYacwh5BAXVg9EzAPcMg5CvVPlhiJo6pjAtF40mvwduZQ5UvV
HtawgGSuqh73aWoxy2fsA+l0R4rsFXzijqnjup8LMrZYBPu7xDLICASDBjjNgiSL7g80I4n1nVHi
e6SvpFWD1eRUz+xGr7REecNDnQD3aC6pJQ1vJh3BLmhavBvDEiSetlMyK8P83p851MYtlYaRGbEz
r2/6aJd2wfAoYruBzVbCIaGjpilHdsDVIjSbszImYtA222FoH2Yf49RIY1sfq6e4Ls4TwS1r5MmJ
NZEOPWXHbISWXDRGgLZTto776FUMkI3IjcOD6bSrsBWbsWjfEvapYOKVRS7KBzBnGKx2oVkfklbZ
TsJ+HmP1abamxLNTtJgpfUoxYw7NdqJguCwoEIS1R4DX03GSLkPXbBchg7GBdH9P8Withey35rLf
GHbcrlUt4fPszafcxGrMsX3pK3VNhKGkUiU/TsXwWBfMPKLJvGtb1TkH329WNwU4mwCZzt8WuF7T
f/cY/ct4B3yTJrEJFpFtVZOD/Y8Tq6ZpDNOfxHSiVBkyzsbfj9fF+S5GenvO7ylW3mFoWvgH9lI0
gmyM3YcF7ne5+l8YqU9FlLfNf/7HX4YY8uVdm3VHN3Tm9/LtfZj2ADSxekV086m3n0t/56p0TI9P
gBS+HJZ/ulz86HVQXFXgOnjmOdx9+zpuy5oVjf180qKzkGEtUpwb7Ibu9wawn77Ot6sfzyB+Hj5P
1kAo8jamq29fp6pMLO2EQE/COtSC/ErB9Xv/68/svTn825WPF/nww3z3Ih28sUYn2XLq180drq1V
v1Vfqe3DFneecY0truhhWmRrfXt7gYF3cdEz6rxrVv7qMt4Pi229rM/AQC6CZbHmf6u7X78/XX6Y
378/xh6g4WBuuNb3ZKa0g0WdT6p2Aq96ARB+pZ5r98Fep1Tc65bTYv+obUbvoloPW0ZX2YFj2iWD
4jVppC/Ty380EoML7+cbSWnsWUZvwQ8mV/ILv24kNfGb6mhsCmWSxeYQ8+dGEuofo1cHmAphZznV
+lMmYffJv46wgk0XBoHL9vOrqUf/DXIJcElXlX5a2Xj73aTqV5OrH3XFmOx0HIPwyf9j70y62za2
rv2LkFXogSnBnqJIdVYzwZJlCX1X6PHr3wdKHNuKr/3lG2dyB9eLgUgAVXXO2fvZhqvagit9vzhg
rA2piBv9iL0WU4s5Cwcbr7XMZD7k9SW96G6yqTQNUWrDMqQ2v2mB/AdQxy+QjtnPSZh7eoOoX1RP
cEJU9dyrNbtFTM+Xc0WXuyfAttM+0Ns02lXNqN0S9quYO7UWUmGcoTSnzNf9fTJaaDa1JInVm8h2
U+MwBVNaM/0JrP4oddrbBDCTeW/l6Suxr6gE86il1DfIStiIGWjnvrPtmmpsdkaq1cyBJpjdK38O
u5kMG2qIXYXioM1hOLKqqLJzzl+rcHCRMVSyWbVijA5mMxoXvj/h741d331uayJFkdT5MNCRW8MI
ycP2zHnqeRzzJzsJXmLLyFbUBJlXWuZr2TB8cgtcHl1WGV/6hvobI7FWBTQ0J2Gum0Rpn3orsBad
JuCk9bSDPMft4wXxf869qkBFcumI4Bm3um2t53T7FT+8UBKNCAlVkoVQtQOcwrLaGCZUXQl1CfYK
Xh3TIYp+kC3NFCIpuLmcK0lIqfvaJ3k4OzgtUWCmL+0jFsdplxgYriNqYcruEJ81lkwZaASzg6j1
ipoWtM14pnTcV8cIlY3TTdtUdU86OMINIAR2sHpeDX2oD7UxPBih4S+ZqXUgB2CuqjS5WyqBhj7J
ZYKF0hMh1Cs3xXopTdtcxUqpnUSQJDeEDunXuWXlr7EwkJFUUX5P3CqA/aj6kjMzO7y/rP+tWrO4
5H+vWjT7Phfpl+af1e/8ua+LFnJDRuJi7sb+yXT6tmhpQEzZeE3dFPpf2Vd/jdspcWerAc1dfW7s
vvsNvla/c2DMHI89/1cZlv87oPmP+z8zdhAps25FhSuN5eHjcappx54potmfW7EnESkeIc9tvvtR
fnJk+rOE/nF/pYMsDBexP65pvu+P6yI4Az2Ok7o86z2FZg0qsOZoGeparp9Dge57LoSG5GoqIsu5
DMPQfpCBrSVXjjBBR4ls0PaaVSJ7KXZVOIAdIFxXj1ZTRHJVC3RzHNOzbyqQNJTdWLtbpSpuGsG6
OYaERFT29RDVW3/khQyzYQ0xVV2aRrVXSmy3TvI5HZNnxfeXbVnu4jR+4A1RvSkKT0EDck5Ld3ZY
Ezg9yDfZ2psyjfplWhk2PWQDVx+HXIAe/bbqaMG2NoBxZ1vptcfXewgssRMu538drh8m59cUGB8j
SINxdPbql5gonKzEGCFIu6pquabTeAFAoF8Ca2YMBR+Bslt8Hup8rxtKtlSN/LZTg72vaXdywIqn
Rc19khH1G479S20Z+9GQ+bqKy2MeDgTuVTbZtZFven4hb2QEvcc2sA4Eo34k0QT5Q61fpT3d1qlr
H5RYX0+9Paww0mULR2veUESnnhNpBYt9QYvEONi9NJi9VWRWJRX5KQIpXdnogTfELfCdEr6r2mG3
MsrpXoV3r3M7F0WrXJs94q9MS2/7zJ1TSpNHpWKp0zBuuSA7LtOmVz2G7/uaJXshVEDVqhNcBM2L
DpDMbSF2Zb3mGUNVs+rl9/5EIqRfOTmzUHUvnVYum44cF9t8KSNGrv0oD61tvDg1ck8njt6cDChF
YDjTsmpcLJzWmxH1nqii16iCDgX4dRtqeCdUoiGLIDt3Wv1ZjWPhSaNRFvREdmmUEPnSNWtSKJBl
gPT0jLrpV4YiXNgX7Zlx4l0XtLWnpA0NTPiQqhHeBEND0oYdtB4hKqvUkHLVBTahZtw/14lvNFqr
DGKBx7jdfSImi5rKeouBfplqwoEcRtJaJ8d1wb6VHPOMII4gjsALmuIuGKsb0ldKLBT6KSACZRkW
Yc/DOjyRsMPT01ftyun5PWybHG7Lp1AXZE/H+SuoYGvdSXGXBOldHUEVHxQnYqDcHOGhvzWK86iA
McRwGHq2rtaYDnxG3Cub+Y+2avQx2ZXvJR6YksoHB9R5Lr2i6tYMenJhrISnnAjJu4Tcq50JiPNs
6f1tVWlbZSpfM2Q1UVKS1lGUX9SmqshcIymzbRw6ID3TGxnF94bRLFPLT73a+gQcftiM0MYushli
oCjXso1JfO3jlOOLnzEK6QibVWwC8iQyQK9OTRPBaOoFRB0MhX5kuENMrcRSb0M34N1c6GF5WRf2
AzExr5EYqgXLGmFJgHeytPS6EBybYzwrQ3vg4LHPzPYxaEF3suZcy1xdYZC6LsAR9apyPY42eIXg
k5ZYjzXZD4UqDm4P4sfGMIQzfqqbNag1D5/Al7ZTUmYx8TKpm2SV+YqX4Lyya4nFwjHXsuwubVrp
soJ5pyOqCSOzXxQuup/YURa+opzGRn7KIL+QalS/1rg/tGq4V+pXs+VJ7Cx7rRuxTRwKvXtULn7P
ECNuR0VZiW60P9lBN2yqiiDPOADgwzmnKTlTEGZTGMrNMGGh6PJAQPti3VokhVGOiwwA3gavpyR5
Hq2No2efkqpeY/V66Pv0U10pj8hn9CvRmtOZDa9ay7R6rjR1F0r9y+A7pwreEHmqwTLPHMRX0O2W
UdU5ZMun0TqbMvfWyJzxGGThTRQEn2MN3gKnufQgp9Fm8tdQ2QPU9IwmfMw17mIf3kZRAYpQV/Zt
Vz+05B3cOApMJ3/u1pT8fYsuYu/x3IQ1AFKFtazbcjopgGBurVgfl+Po9sBksZ7wltf3vlu3kFvt
bMvb7CyrtFkaFqL5Tm16IGGEt+pZMW76XAANTRkvkkAQ8bJDC+1TV50zu89m0lyTfuhVlrrh1EUy
vOLjewJzNlnqLcqiB6kON4EprR2d1AcIUnAhgsm//PW2+8+iVtDAolayHMz2pvjQKLGgKtKjrtpz
AcAfpCvhWxZ/tQkML/5dhf/jKWLuItDaBxqsUhPZVD4fCp8anFGjkV5+dnxCgD5V4zpUflOk/+4S
879/13hhepymfZv255IXEwPeIuyejPLm17/ZTy/iurRdOFupmvbhInWYJEOc9/1Zl7dVcTEo2IJ+
00D6522ZpyDfLjE3fr77Hg08y0A1hv5sODdZtZ4glnMKye3nePzNleauyo+nrh+vNP8l310JIJ2Z
WQ1fBjvzQs0tmtb7luiZbtVl+ymb/nXHCuiEACWBElqnFP/Q5GmCeJhko/bntHpQ4SnaEP/Cw5g9
vN+i/2oNlXnQ/641dln5KqPn9Ce1Bp/7WmvMqQhzWxR1Fyc0plnfag16JyoTOJvFAADHTCz6OmnT
KVBoWdBZcfkgtihWim8NEoZ2JmYlGit/ju7+VYPkx/eLng2RDSatQLqnmK8gJ/34SNphJfNBqcbj
oJeluoZLzDiptJlXvYlpyk2OWlhN2d31SNgTgXrJjAcn7JYVzDKgZmrhfDL2+61UMYYudEt7gf1Q
e4XrPzMcu0n8JDuPCQOSarIAe5pwyimk6mNhWW9w6thxMy3jbagj8nNbNAF1JBnfo4/oMtW8mNo6
2yl52nDcTzANeoPFeCOOA/IJUdqwm7gXyKySA4KsfAmZY1wzjpstRgniVAZPHnMuuUAtCzChG/eJ
GV04ReMfsgiMbqK41PdIAR3O1iSzM1UZ14Nrh0u9YRuuOOMRDv6OQ2JHrJyWOYihPKas3qU15Hs7
bG9VKxQcdgxCgCNKosAdlUsZWy99zkZfkWG5AQjyNsXxk91HiAGNTs12vY9IozTi8U5mUKDIjiHY
XS92bRi/NsGkPXLsFVdT2gD+JQp9adcpKsaxYJYVuLl7QBWprqxeKHujHMSFSe98E9GzAVDUWhfS
tq+cNIhvqIR2fTjeKiVOzsLIjY1wiivbIhSduR0qC7I8OJ5SxU2JDXFY9OqCpHHlQg0Bk9gjad6P
XRnsSl/oyaHxR7XZBNl7dMYkcRidQu5dR1MrOo4qZ/aFEqgkKCFLEL3rOXPzi+4KViNoW/TEyrk9
pmhzp4y4+mkv5/ZZ9N5JA4HJOATXqu6fXB/7Uxgl7lunusmFVrhLNcimG6Njn17+t3q9CwXmXuwv
Vi/g7D9ZufjM3yuX+YcFm4gBOaQS/IpsVl9NCcSAIx7AdOAI3Vbf+7dfTQlkh1to4qAI6HNE0Lze
fV25TGRz9Bv+AjkwLPpXrd33NORvmykqBHrH+vw3aPwVjAk+bKZ6mJZq0NnNZZZY4boo0mg5FBm1
5BVzw6mjHnFDEktWRtiJEDFll/QrU200FXElAKDeM+CypgdaqtUIE9qhYUfoQG9KZN2DVbUcr9NQ
R9tFdcebYaQRwhfFjzuw+r5b5E+TtFrjbLetK/OlLcoO87Fp9jVEIaWK62d7auQ0IZr17Vp4wyA7
2C9kSslNXJfuMaxEuAsGCeG57427CohK4qBMrdoiIW40iWktVH13wOI+rjUnyi9tcKzXaI36zyI3
zXLXxWHwmSbisE5rkV3gvC8oZQv/MlZMY42OPNwS2UcD0+n18Uq1NVgJbdEfk9zuL1Vks0vpl29F
79Szs16Tz04EYy5tDK31Qt+kKwvK+ZaYtYzGZm6+OFPqbrow7ekAoHBA8rtJFUO/diaBlVsP8Me3
YjCWjkogrtk0CkYCMV5KLBbrBE0HXDS1RGRX4y2g/YJecepw2MGBBH9ZImkgiVV70qdyOofTFIPh
1Vrtc0KNeGirOtiNSVw/6OjGlhwUUYeUFC6Tk7Wntk1e+EnzXQX//UatI5F6MVKWI+Aad2FCzrgc
kdUtg9GMLs2orjeum8pVPLnO5VRRKWRVTkUyokUM9WB8Ae6bXqA1rj+1WdGuazfOcbFEGqlYajot
rBDAECg22ipDZV3REFDWrH31WY9I4mhaURwYIXaHuk72pG1MjLgVZ12Z4/DWG2G6dcos2A8F3JmF
GdvKkaACwTiiRrpRjCmtq4YlvBqdfFMGIN4NTByLwZSc4CbN9fepVKxPtDXuMbFoF5rilCf+fH+t
JAgT6kIz1o2U4jROIWN6NGy7IMpRfmONoNwux+tQOv2yq/tqNUYtWVnd5K9rnDbBfyvrn1SbGULz
v1fWi+e6fs1/srbyqb/XVvePefDFVEzXjLlS+7a2IjzW5//7qxueFflbBxrFL68MPWKVcn0OCPi6
trp/EGNj8V+krMR9wbDt35wKmbJ9X6gwnAOcg5JoNiwbONXfI8i/K1TAsM4YBas/jb1ew//u/JgW
i+2OvEIRGBrNPzRTEuirMe665JPaqopYMiaMml05RQRQQ6ZOLmoq+WkVD1oz4UQq8wIvTa5b5svA
6Y7DGWEks4BSRqhPB0m4hxq4b67I1OYGlAStV6DIDFz8cZpAsJVFj6aUFViZVpUVaBOWq6THTDNh
56a4aYNBXWVaIKeVYasZDBrn/W1M1E0rwJptZBcY5l2q4rBa46rYRZpawnOyjGZbKt24HfSxjd96
3RnWQcyatgqCmFpwnlVuw2QI9hDq088RclrgGvSXFmM5dislZQVHwGuTPsAhV2SA1js2kc+dybI6
TRktGjEqRIJXgbExx/DN6hVkXrnzBpKNaOQM7KVd8m+INRCPdfi70fT0hzDAdebMGYRBlBHC0ABo
5tXPP6PDSxaa2iRymXGKgiWgiEU7n6vVMRJbCGDMvPw+f1adebGaimBfSiWFbM0wLB1Ud+OU+Wti
T+ZGT/UAyFxnbOqiiVainrEpAcwgw2zTcyJom5K2TCXUwfWsqn7lKLivAkd/DWul2JoS+FnbpTqM
UKNaySKwkVMpn8sEP6A1pS2G98LZhFK+2b3vb0qAOBgj4g4anMRPkkIN2wDsryFyiBhufBgf+ZvJ
RUf5Td5KhyU5FksQciB07H68cl3f3PQuiP96NpsVfZasdGk4i771u1U+AUbKHP0hzRMNf1EcLKQE
5OP3BKUXCHAWTdlVi5bGz5wQXl3RqeW4G/TNlR0xAwYSXjFlGOmisoym60m4w6qGhjQP/8rVoNpQ
YTJMKf6QJ1sV6PashP8LWvBfOW3+8kB626bP8vWfy+b8qb+XTWggqA04WWroQ1GGfFs2sdCanFId
YrJnRcH3CS7WHxxhkRqwbv61Nv69bM5HUirz+VyKtXXOL/4Xyybnzg/L5nwkVdGTmnM1T+vlQ7Mq
8CtR5ZwYLidiK+DOt09y7EMSOhveiy5djjK9xwkUeWPhH6N5GzbVvvZk3p2zutjZLhDOGnASw+1q
yYEDSm58HO2JTrMW3QiRfEFtSOJ70dkwkXqayb12LCaGaL6wAi+ryxMM9Pt+sp602niA/U6OFqKy
tZ/SY3QRdqYGDWfA4SAdECfYJGwvojL+ZDr5UzkWd12IqaloYIr7lvVJEqeXD/l9w1nDz8dDaEFl
16Njl4QXTRE91YWTccq2z1I3X+giO6uML4bIjem5phV7mr+PMMbHlRHroIsaVHBV2m9RAtyNWilX
JCSuDWNq8EuA3uOsRsys4nypaJMtndS6qBsmU/mUeE5grszEuS4i90tVu+fIJANCq5BOigARrt/3
l07ZPYgkf8H69+hXOPOL/MWA/+m1iWSEATB3WxPXEpRkaoXMO+PgKdVILStTp1zimk0XfVm89Kp7
TBTAp9mI9aHU9Gk5GpnL6Q5zAJ2aC4Tq+8rwL3Kw7qTYyjWau7WQ/T5w3W2gmdfj1L1FRvwKw+FW
j4INuYQPWTBls3zy0uEmuYICo+9twi0ESHttPkFaXX0M3eEtxX2BpE9sCuELr5VI+TKh3RuBeW00
IwqHKLk1Au2t1axuN0bzx822XRt6+5Ap7bYuwhIjqbVum5bxS9vEG8tKHwvCLdcgRC610MQ9l2Af
qeYIDxoZMwZ/LWzwcmixNxg3cAOj3Fy0JXeN9DkUoyQht0YEyAMvqzUfnf26PER+VtGw5EgtYzwN
Zj9d26TQ9rm5biuj8oyJMJcggbUpmkFdOIRGLNOWJ45VXPGciYd4rLmHmVYGRNlON6hPuWrurAO/
W/uivZkcfR/1CQnBWkpMdgUfDrNqueg46jfF8OAwMqahWX4WaiGJsvM92Q/DohfRlhxKxSuUcCty
JV4qNgJRIYoNhpCNKmBc1EJxt+Ts0azqnNcsri6coegWiILLlXQbKGLjuNTaLl8F2XBXVCajXYx4
PI3QqPXmcz1D6oVUAUjPpUo2WNrByIkIAaaNIjDV3FBf0ia715xEdiupEKT9iZ/Bb6Do2gGNswhz
jeVnIr+1YRgUjDfKCVaWTOlsqcxEz0wVI4uggig869UQPEZtuapTHqHFLEG5LBmlxI3VekwRF8IM
tqHtBjcUlArdJ3O4Ase3pwsTketmd9iUWzbV5eBYdbVrbeFTcUbDu2qH2KEloGoPr/dVwcC/Qmek
aw9JL0R0TPMSJm+chupysOwXEbQtJDlrxGW56N/Hjn5iYKOKIs0ObkVjp/Wj5neBvwz1SQuXlcgs
/4l+G4EoQiPbagGVi8iR//o37/0bjd3tf1cZx9f8S/ES5T9p4swf/LpjatofDl4OKgIWO+09U+xr
EwepC1JTWsxspQImFf2Tr4XGrGeZmRMuh/F/kCXo4PytgPkXu6Vp/WMaIkyUcDSXHAh5zKg+aFBs
0ukdzuvKiQgKj2hBtOTG9Or3gCcTM7UWrQ4ki5AeOQbI4gSr7bXLU3Sl2bNxj3TG3CZ4080cnA+j
vmxrVd77TmSPL6YCA8nC/03bkSBsYmGJ3NMcUm5qJnv43I0NYGyJkKx3NrwJw6orFXctVe0hLxPx
ElSEblfaUK6LOYi7b8EIdHM4N7vesNJtdBBtosmn8j3Ee47zntiz9n1u7+MYkUhPdWGGHNprUsBb
rf2MXEYsujkgPJ2jwlMywx2yw8c5RDxDKMYe3V06c8B4Bnxx5SJC2hCCSUDoHEQukwE9ioNCfWS8
7FD6LDSf4PJJ75ca7KJzXJM3hYM4fewcc7xR1fvIwNlQK8klrN1wabnuFfBaDNeaeoSijMSFADbs
yi911K8th43UaFIwgx0h6/Yct47eJdrntGyJoyKMPRlrsarfE9oBdPQLZ45t70pHW3BblBPSEzYB
+IJxUwD0jAz2SFybSVcMV9McBp/XRnI1kA9fzEHx7hwZzzbHh5JpitYktuU+c1wQCfAM8dnJOXF+
eg+fH0B5LmtnjqSPw3CiyspL/8bkshvAkiVsbdfOd7nsug1HqGjvW4pzjAy6cAuCIRH28+H8qFat
f6W24WMaIkAIc+s5kBnbME115CDuY6KCNPWb8k24WebhM71IffKQnHg8pSIpUPJkb+FkLitCDU5j
ZoxehnLbM6QDEjkn1lXprJ3sKnuvEbyCrWC8CWNmfFqWbYyQ/3Gl46mDCaLCGHvc5SzoPX9Ao7Vg
yCTRLsaxM0tlP+JOUQvKsrP5rsiShBsgz2Jn8bSa7RboeHMhK1csWx40QjPRi8jKBKdmFBgiimJT
oFBCkzC1GzqkT2lnLxsxQA9QhnrfD5kO7zpQ16bhO5cJgAQlc79gb7yw4uyqaNs7n/DTurQ14riU
8nJUonGnWRKcZTERtgQSJGvM9FbA01g5zmujDIcotQ+RYV+MIfGbdhxiQhzJhp3WfOcTwV8XJkBo
iLQH5PMXWejMnCnTP+ZOWS8zTJLrNmTvGocAIVm6kzHxbhU3yQntfTl7lpTY9hda4jwHQFfopkan
oWO7HnL8NErTZUwZKk+10h0K/ZUjCS6W1INFQrKd82bZEUtLtpYTgUFJ5YmuRrCuieuy7pchVnyb
rq3b4+YCkbYIG/K4+yG9I+77pBntHcIch4fULayTT92x953prazUa0xiOxs1Aj7rldUMOv3R4WAq
iUc75Dm09I3Fxl9DuV/EpnOuk/zaKbQvbsI7nKWzI3i8NpTBWsJaOI4VtJDE8ErucRa3kWegrA3w
RHWTIJzGz16oSG8hqzMkS+KdbMMzmcWnDEEXjOqdPxRbOys8FtLES01xleXD5ViNnjaNu9yf2a10
TSZlg9JlSxSBl5VIxOphrZhi9oBGL5bTeqlSbpXW9ZIQiHZZnPJSANjk1ETDnGTAFngfFu6oC7YD
gWZZoVx03bjmpP9cAe0dk8GreEXodXm+VJe4B4GNp68yfS389nqg/Ikd+KACGVWfP5iVvawnurgG
12ikZ/jaCZPiTd1Ya4OzvxkM18bg3qbxpIFDSGsKfbHJUMsiV+YJpEpC3Lh23OyNI9IlK9x6RFNU
h87ScrAkB3W401UaOpN8EGqzn0znxsKe44T1dQDdo82Q3JavlUB8QT9kYetzUmK5xp47E+ZWIYqW
QA+vgOoei06/1vzsTVUaSiaopswlSyG2itttnVpZizC9ic3iojHxqvGX2uhVOIOXK1+hASzaNa/i
Ze06a1Wv97o/ckFAvyU/2JDXy6KCgGgY2kvfFg/8p4z14OtLbGelx5vE1C8k0DHvn+u8xnesHDgs
7iZc7MUI4qaTCaIONomw9CtC4aECt5a9oaq5J7fwqakoxUp7hwqfFg/m5KKR2xyWvBiyAoKQu2EE
gGVJ3Bcyvi4UIveMYR35xCmo7irIm63dmDyd9gZ87lVepIcSk1mntDdpZG+dwT9R2+xyI9sTzHAM
C5hDeYtqKB3PTAt3vGAo3ZyrGDqQrg6PpTXXv6L1NNe586V1Vcv6lNfmdTtAyGZkcNPiEOvKIsf4
RtaMmV6kZkADG/JdnwZHOS9UU/EwJs1BkyQZl8j9mt6bS8e6nw89+cEv87s5Y17VioOiGeFJ8YUP
nSbCdUcLx5u0Zi8FeaV973UgpxQl/hIG1l3cZPZOQ0+2cO3mEY7jQiP6GkvcKonULxYn17ypHshn
2SG7ObHe0iqTyYba/UBeM+8lZm5vEupjaNbl2tWT2wziwaIakk2iq+c4ceJVwkw6L3qdUY699RPL
6zUlW0UTds1aepQFkJxGbZmkRHeG+XkISDbzhz1Q4S+lUq6UOn5uqByZcuBzIdUVA4K9attgJUMl
h/bdLJKm9bKUTQK39bajkO46c80sZMOUbI2UbpUX6G8zYhBpt07rIcsPYxMcZAPMERvdQhKxnaOq
beD8K2Gv7GEF8aynvKcTKarFLlWa46T0j7UsX1qH+j2uXc9Ph2NntNLLBNvfd0fan+iUfxQnIGLi
hKir2tycgRdLD/BHcQLoTinbKFdOIttG4JgKYiyhXf/6IvOc8Nsc8etFLJW+ksHRVvsg/4mUTFiY
KpXT4HyW/aZvH4fiLSCFlc7rr6/0swMvXaa/r/RhYln4xaiSm6KcNCTVxoiMGCn0tCsIPmyfIoyn
v77cT3893ibyqwxVRb7w46+nOQWMirQIzp3y1LSHCgJa+vLrS/zsG3Fa5rDMZXTD+nAJ37IH4cI+
OqP7jftNO46rFLBXFhA7Cvqo+Y2A7iffiCQdihadR0JTrQ8VQ5dbtTaKJjpHebCIdFq5waZMfvOd
ZsXLh+fhh4vM//7d7KP2lca0fC4SY61s5EXshn8Oxv7fHX5k+nz/NT60CbtmasCPcwVZHq0ZM1Lc
+nb0m4vMYsJffY0Pt6ZMZgtuVkfnAQpraHpuBIOpZoF7hKJl1SetrX9zxZ/dHeaa+LpgKJvMtn78
4ZLIAaUYq9HZrq4qEYDo2Nn+268fuJ9dgwmYZVgY9hmcffjpfFNXLMgg8RnQySqzlnZeeH169+uL
/OynQ33lIpxTyUX6yA8t+tC2owhxtCwfc+sipFIEtY9g5iZuDwYThN6/+vUV52fq4836/oofblaI
okeW6hifxUDuTX0PROg3i4H64y83TwUhPjA3nMPFZ7DCh8WHwBTGU4OaneMLuUMJ77VHnFIr8yq8
Nj1cAmtUv+tff6sfL/m+srJwf/sdP1wS3UU2MHGJz52FVzwgBM5lUSi2v77Kz387aBViFtVa77Hq
372v1qRadpOJ+OxX9FTVwxwx9OsrzL/+x7tjwKHE2OO60KA+PNhlreFqqZX4DGFxAZKV0+ZTZODb
j+PffJef/WLfX+nDAkdFXEjVtuKzar6GzpXp31TTb5a3n18C9Q2ead4k+8OjFqlJ5xgAF895fjIJ
8Bro+Gut9Zut7mevEA/b31f5cOvpe4bNGHCVKHkhl9jXlZU01mbSeklzVqBMmr+5R//4WkyqmfHg
dGIrUoGG/Lj4oIsgxdYu0nPTbcj5661VNV3/+jH4x4P24RK02b7fGCD+8oOGVXruJ9AdCoHecKv/
fy6BX5VpvurSZ/vxEvEwZApjifRcpy/KtCPC/TcX+MejzHdAgAXPZA6YI1XnxwuwdNq9mk/ZmXNe
1ppeGO8iuuq5+/r+Rf4bYs6nqP/dlb18Lp//OcKcP/NdQxbNr2HysLISs4d9G2HSq2VfI6Rv9uVz
vOGd+qqqc/5wiA3Q0eG57/Q4PvVV+eH8QUCpy7+g4GXC+e8SAYkS5AH4ttah/KAcRPqh0hJ0NTyS
83v23WoqqzrDcqtNp3LmVqpaYyyki66hNMc7Na42fui8GL1aLf2y/Uya/VM0B5Si+jrUpp8uq0S5
m4eXuASP5kS5YdJ8gcTWMKmLTlaUrkffOYs0UMnQaTVGkWIDHerY6+ZFkRUbJ3C3baydwOIb8PiZ
/ckArx5y4BvLRIrV6OqrYuXoIpjBJJ0RHG2LNDIFxQEgHXM1agy2KiZomR7thNnDetGcT3apn2st
PZkuJV7LuJWStEs/McvY+AMzptF0r9I4IJog8ZA8k9hu0iMN0kIsx8Z47YsgJs2oLZ/zhuuMZrch
BBxeD7GjiqVuM4U0bNQncumn2K0bNxKk3AXlvsX7u9JKBNPtHI+WhJUXkZfmVuln2FhLBqJQhzsI
u+/ZaszpNsMESs4W6Bn7ZCvzHJYJeWxVTUbMnNCmEdWmi5TMNsLbGMkisZUonP3EvujnhDe3t26q
OfNtdEh/U/KOb+GSCMc0dZf3LRk9k0so9Zwbh/7o0iJITp8T5Wqi5WD+38Zz1lyk6FuD8DkWW9yB
lM3o0BkTzQl1MIyHhUJoXTGn16GwFrfjnGhnD+YumzPuDMLuVELv6NraXjjn4AUTiXjFnI1n9R3g
wTkvryQ4L8rrdjXNWXqVjwzGJF5PqjkNhmpm583Ze25FCt9EHF845/IROxkulUYV6w7UTEIsjZbR
3vVJ/WkVk5h0Apx6rKO7EqfXYIMg6siKXViaHW+aAiL1FpRQ4d84vaPskWx/IV+pJIEicfdTGUZQ
WeVOVsFtLVAZiUbbGgooayitqzpszVWHqdHp8uKQO/KIgvGtGDBuGlN/EEP3UNajzSw1+tRqVUxl
4upe55cPXe0I9OxkUuXDRZYJw5NOfDU1TucVRbBpevOYz4hgX/mE01IwAp+2sUbH3wpI8QNX3GL6
NyOUkPTPi4Wb1JvY1i5SsHEQ25onMkVOnUjuXBA+yFX9XaBV5qYbm8yL1Spaybio11GYP7siIdpW
gfEegA103WOeMgKdrfXwrb5EfnRHgAeMAyUAJKeJL3pUfuqACykBohnJhOkZxtVKUZXHDqvXom+I
hxgq4kVGK7nCVfjEMe9Qq/YXe6oPo1leTqpBtPuEbZ4wzYFkqGMus00qKjItSX3XSWWXMhYLRQuv
u0CABo/GJ82+TZSVMTqHMorWbsf4mzkoFKxSIYQUeXqTpFcMeBRPK+RjqTTXsdX6Xq6gFzUZIDCc
Xeq9v8xANCqKtZ3maU/jx7R9JZ0KmaA4Ct2j7YJR6pIT4bjAFbjrGn2czh6CTZJNT66FmbRBCWrh
GTbpfKdKHHhNV120/bRzy+gzLX40Raq6dP6PvfNajtxKl+6rnBfABOzewC0K5Q29vUGQbeC9x9Of
BeqXxG7ptELx387lTIusYplt8stcmQ2OW0bxXZta706NXteNeL7ySj4GSku1eubzJS4gjRthu84q
1kLXWYDYTa5P2W934//uuDpnx1/suN/6t69/t+fyU3/sucs8Ex2JKadO6H8hkfwxBNUoJVIXjr5J
bBQH5Z97LoYiaHa2FKRj5PLjf+65kPdV0PrSWZyWCwngX8xByfX8dcs1JdNWa3GECp7Fj1uu30Ul
VORouorya2MCB6r700DXnfMwzvrgqhMNfY6en7Bf3xL+fQdypqykMlMTGGK9m6KG7s/WoSMOcoVq
FBC9xTtmxHPaOY/zXD0YQ/4dpXBTKWJxxcuXtKTOz24E9BOYH6qenRAmkUTBNjORMy6DWqGMC3Wp
IEseAXnMG6MQHAfQmengpHFNt56TlI/5NL/jiszZgZwdseaHJGqva8e8RLavbTmp32UJFopiBOLT
t4diwJY/Kc1Rs2PwankP/bHgb4ZRb+Mwsbt9Z4cb4lA+c5N8k4fKU1dGKwY7LvfaS2oHVAWEkZdL
Saoxb5DPqE6kT5RkDkNYIjsuxqyvhRNd0U8oME5WE8DLjMEFDHGtbFZzNbL/xQYJUWHCIMchsnYU
6yWbE504jS/XI+bxg8Rp5FWDRnMa+EvsmIBxh95LTcfyHPLX9kBXqaF1d4JhyXquLbxSfZWsgqg2
7xysqC3NtVaBqDqKppkftGGAyc1wtgo9C8j40uSIBnQZJxDRjGeC1PTw0xMX6kkniX4NNH2rpuNu
HnrY/UyS3DgItqNq9nTwQDTzGTeYkoIn5pDfSsptU7VxXJQlODCc1tDJYIr63UOb568RgxjfYiRL
94BlNjQSdsexljH48RwimKqsw6Qk9CApKlCLbJVMxjEM1afJFIeshKCQWdNbpVnVAwD82yAz2eEB
+5bDvtPH7RjH/i6yfMNVIn+HLFOsgso4Th0tkI7C/GFSJozrmf2o9AzmRKVsBkdnnN9TsUvZoO0P
+9mhREUtShw1Qe45vQIStyq3UQSngNTZda77G6NDzMaD7yIJP85p+pRa+vfC4DVjgX8m1XTK/eSB
uchLkNXXY0gIeGztXZLTVlfnGb8+3BFbk6sUlk0+toeso1pOj+dnipEW0P9bO0VrcBlHJ448LSpf
RDS0nm8M6SpRc7INdXrPdvEQNhZmoc5seGrJkdH8upyJZLfypXJIzBO/OtelvJ1DslaG/6Qxed2q
ExPjrnu17OBWT4uNhNaGGn01liosfzHrp9iGRV6J/DQn/UU3gk2Sf01IsHV9S5/C4G+LiJ4cqEGa
V1jTdSSwyGESc50B6k8rm+e5I3jiC/0t8/2cTHECjaYxDxqwX5dZ3b2YOTSMBdxYo5b3eR4cmay8
zHZ4xpVzYxDe5miWu07lfMWZtMscehmErPZ9l/EB9Jdh3Lj2Y/2bFQORpsX6no/xs2xx9FJRAWOS
iY5jfHXmiWCFMlwX/pAwbNAAQgQ6CAQ/t9xUABqy21ojaj6mpAKd2yRhXQlBKe39PlQxEGrDJhfO
++i3b0laXfsavE1f0mXaDBD9sqlyONZYx9JuzOvZsLcKmbj8Bl5SfFfm2hd/MrD+JvPDXBQnYw7e
tVw7dOB8d5nvKOs20S8hwVi3oaKY+aWdb5yk/VaUcl53Mky8euEfgJBkY28dXgEGQqxF4B18sz7N
Gp0KunaIOiL0YXtbA85kImjsxWxegAAei4y/Mkoqr2wBzVuzYnqoIF4cZni1pPmb4PrfLd9Aevm/
t/wFTeZ+q/O3+uvf+p+Wn/596yd+SwYeyWOZT3zgxP7Y+uGT2UiGwuSyjdyiorX9ft22+BfHgP8u
wQoKlJg/t36Dph747hKlkWA9Zsp/s/ejIf6095PQ545NaoNThEpj1U+akkOvDsEnI7woia17Vk/e
wJ4nPlA9GmNfGyAn24o4jysI2MsVH2yLBW+omvhhihP2rhmLwiWvddPLqzIYKaWRan8zDnYxvXVs
hsBTgpFSXUgiac/dwq0wi0FFNT560cl8VvOe6h8on9uWWo3wzm6hsNcWx2Y3VwjlU84yx/dZkfYP
Jl8cfZUmKu4WbIroueDVNmWZwk1pU5iWIZSY1OrkY64xJ6Ypru0fS1YSDsBWOYOJyGcNHH1T5StQ
1Pa1kfTli5FV8QvMXGsHwY1cmdan/hXw+8CmWyaOoHRwMFhRS5oFYG9oJ3MKfQ8KI1tlRtydVUVm
Fyny/hYOfLiuMWaZENDzftcpMHa6tLJpTc/GmWOEU8xMzTsqHKQdWZJLUipvwacX82pus2iX1nL+
kumK4YWBOTX5alK5AuibzrHi0nfx2SbF3u6NdgsqgnOMF41K/9LStaGRLySBYMaYjHJqzT6Sh/Nv
OUQyNARYdvij+c+msg62Um1n5t99/Go4eXPjyEZuYjLFDgWzZngPl+7iGESZrwuFV/M6V4KeNEqz
bM6BX3QVCG2t86/sSI9fkrTR70eHJS5wRcflGhJGlO5UI8d1QTbMj/eVVsfjIZPYor6JwQ6+OYYj
t10LDDaNQlI5dLKEuMUaDLlKLT1iiM0zEPGyvqoUBVQ79LX/yoMfps0ld/DrlevURc3/XL1H9AH8
VSlcfvyPpcv5j4lCS45AJ9bwkaT9dGuhKUzFhknLOX2aPyxdLFsLZYLyO5WBBWvh70qh+R+bMC+3
nUUi/7gG/YtrC7/nR50QLykYAsfU+X1MlX5auGp9yWEKGQA4CvBW4gD7p2m5KX5cHFmzUcCBoeEc
BYRqf6TkPmuRGVU/TplO4yVI5B4mobMZdT2uNzIbwRUQImP8NzXbGTjYWigld3Wtta07vS2p97Vb
R5xlLZ2GxcKvzrjP7YpDmCGqsxAKdgiz6abAU0uNvZ/DxbooB7XcJdj18Gyb6nZk3dySadLXA0P9
bR0ScWqKAYKtQADIe3Edy3wZQGe48TCwbyPkEn1B18TKNs9oLL/L6zn8Die83xhaRMUmjd8ct510
MnXypin/a62VZqatQzNTjTsarxLanKuxumlHnkWENWxWNFL1Y/hslNoxpJLBxd0NjNsBq9tX216K
09AJTEytcunC/tFKjHsIynd1Mp+CvH8UVkZ/jaioyInMUwUpjKjWKUT415jP7DleRewQ4jjATLNV
zLR9UHA6ZydRsSbOxXSoLfWljGOsS6kUnKOrqzoS8c7Jw1M3qu80FhANKTEumj5GETvVvoVpgdnH
cdZTIRBvqX6k5hUGUDuO1jY3/PlYTeWx95XtmCW7ViEnQUdB7UUGnOy5RBWOzhnExLVPxZIbhOV2
nuu9X0e3oVWl2zin3gO7276eiZsElFLlzQivNszuQOMfQwO0loLZ7MvUJ81qqiE0q7rYjCUfVQjU
a5ONjKUxx+Lh78eyOg8mHHYNwxUeGhv2kt1jeIytO8ucqGsbTaIVOQe73Hd0L/Mp/1Gn9lyJfrHb
1/s+GadtkarfTNF91WhU2tapyI6GwyzHDfG/35S5TZh7NCMLmATXaKkpBwcO6BZ98EuihNS3KJdW
kw8tEMo0xKBvc4r2ExugmXbi7nTT5xxUY92La3/daAp4b/RhuOBbe2h1bKm88FZOxEXtn7TloF9a
gYfO9crx4FyoLbVvMLspOb6e+aW9lp/B0ruzSTSyVN70BlFdGfeFOZ8MX9k58nH0Xwt7Pkho9BsL
R3ItrYcKxSHsx3ciGGAv7fZoZsnJ0qfrwAfOZ0DZcpEBXrhwvBjc4b160E6UJ9EaYl5V4Q7bbLgK
587gXFxtZKjc22PzYCY9GjedoFYYXJs9gUyGoOxDfXRsaUDF54cTuNceSyW8t+3sgViqO+fDRgbl
d12Oh8pRDuOIcbqJxQHi6TYFs+TasgHIr3V7szPbW3OID/x9RwsWt9GRz5wMupedoobRZZTxBY07
2Y1Kpr+QhZfPjV0gOo7T5D+A5khuR/L77jhStwdCG89p1JJtUBIMYjjYV8w5ubjp5F8Hvhannv64
CyU0Clpj3fvNqivF8g0jhFa4lUPiyK58+52+ssALLfGoNLpY9424+Lj4aIgnfNOaDjUyoZFQKwZq
i/A4zWpEi1oVI4JRDZUXYL12NS0+9gU9cmUywCUH0dKXDfdGx3wW4i7mnfeqTpk9uZAKbSMVZ5+k
53qcy4gioOLdZHzNdXwK+co5vEfWvYovkddxSrbBFJzijIa4KfFvkrZ470ZnFfuoIDFiFNbtO26a
L4ZRvjZdwukv3vVx+53x+FVqUSQcAMVzuTi/6HG3ITX2WkyUDdsNhYPaElajV8Vtm9x2YzmdGp82
HqoB4lSu40r/CiFp3JaV5cV5/0JL4dYiHuPOhOma1tyUNW9zMjBTkk8wYx6tLidSB+zbGeO7MZ1O
uTPs2oowrDLET0E47aOBr+iISc3PQJfgt6Ty77Zt5yurES9jaF2K2FzZZk9sjoqfoThEcu43vemw
WFDBwLuxzikjgBOAeyYWW9qKLQ7T0Bbh4u2DZgSwa2BDiS1xp828a02qwZTJ5T1izqE1BOOVSKVC
ITxWPo2+CjJfFM3troiDJwt/pWuo9c7KjDXLDd0I49nI+euzUJ7sTu7qJDiQ1npxyt7zcQuWdkKJ
GsIGXRFNQ8Qh00Fl2opnDdGuS8kK4nV/U9vkwGvtRfPInV53DmY33TTALSGzNIdYVXa1JV59FYjE
BBy37e98U3q2bc2bZqTjJyN5pJrjd18dLHea81eVDB/tRdGZcs9t5Vf3Wd7OXpIXO4IRFZm+bDpp
mkHhjX6CE/gq/OKoAhklgVG0mzxTNbcwzeEaA2Xo2jXR8cSun4G2BRtFta/onyk4uVbVMkVAbg/H
bGMJ8SVKUe8wEynPQyn4vHB/WE+0GLkGhXJfiW5ITzeykO61ST8PYfMv/UYcQRycJbrgFALN5C+O
My2xqKfIfeUSxw9IoYnzblrbT0fA699mq5/59T85F/7yEMtJ69PEdeJTLJKOh1ArykrlVVdeYT36
9WP8ONVdTlLLnwE5gLMhmR6DA+Pnx9D1bmJWEQVXKg5+W1JyfxrHe3IXv36Yn1wfHw/DZBubtyHA
4f6MyA+KmPxC0gdXHdCLKuZOQZZVqR4683roNVTJmuHpbx7R/4og5q+vEu1bDhHkrWv+eotYfvL3
W4Su0swjaPle+F6/SRmfbhEm/6TjDPuQRhhw/C6A2P8BIoCkTiWxriNyfJp9SAQVhI+Pz5MjmZD8
GwHEMH78yOA34JZCVbFNZR5XE1PlqX/+ZLJwGUk9psVVxyhxPqNQWPGFjHUMzrTN0muY3T1j2NS6
WGV13S3ugyAc1rWeAd1F0M607FTp9Us6FYe0yW9p7vFaBTiuEftn27LO5Vgw1JfDNjB64qpNgp9v
eIIu882JCAkVIGVpRhXFjRXMGy0DJRpSct+xg3kkQFwjBZvS0u8xMrnxaqPPtXedI8TYD3QBD0Fv
a3sVmkR04PzTMkLUFM5iag+NzM1KI+ZMpKgGsdy+3MtIZttKOgeR2rN5b0AVjlw/G6jFcJwgNE91
HDUv8eDnXtcbmb7puz6eV20XHyVkhniVOlZDQKuGq+w0dh2jbsueb1oNnH6d4cqEEDGM7x2oezzz
+ZOkSYK1dABs7tTbMhIUZAC3l0M13sR2OiCqF9BnVHRw9lZKbCNcU4jKoWOsC79/0FX/UannfSuV
2x52aU43sDnlHgL9aRwsmskFAfNSrOpUv6VL561UimPaSYWwd3emLgi+OsESojywOhzttu+UvdD0
de5XF3s5wBl0TCjDTovawyCyHfe0E3SzS6aPl66o39WpuXUA5uixeEicngMT1nktuBJhj/sgLe/S
kqLNPAIOom4Hq7mtW6ZA47AHWP+ULZcVx35z7OZAaTECbGboSDPfcypfzVRcjKFbD+ApwCKTuWrO
ftRcIwa/1HQuLeGeUtHWuQwvc5GRY5pcx5ovBNl2zag/zUNx7knGmFl+4b1clfGwccLwEiOFN4Zz
nA2S0G17iK14Wwr1VbfiDXSUc0l+OCiIAyxvfSDhq9Y4YTJta4vxpPVN63aOeulIz05VfKmFflNN
w6qdlQcrNPbkw3mHu8LjzrlvcEfYhC4cv/rmmM2qz9MnQiMPUIFuuUds/NI6oSJs9C67qHGfIiFq
p8Hk/M6TILWmsXtrJ7+fD7bUVnXYngKpbZRoPA5juC8aGp+4hXyrpX5Lm+ttjVrv+kFv3UiLq64Y
wgv1k2D29eyqTtV4nyHXL7D9YgHU9rxe1lhdYa0/DRofqQ6MSNo3CgzWofTKxvk6BeOFKIpnZsYJ
zPDNWLXCG0tox9wzPaOqXqkv5uNnCK8sGcJVBI4Uw3+l8vs84HjYQH66p0VgbSiGdBMTMLgOkoqQ
FAkJIyOep4T1uCp7JV/roXb2TfPWrDnZK2aGpj/yjtNDeB2XyrYxMw+farErw0RBn5Txphq1cxt3
W0gmK4sDkTpgV+HTwbul6zTMdM115YfTKjebI5gAwFFTQzlmdGX6ycmomKYYAwbl6lLqcPtAaH3h
ns+bMSsedoPBIzbPi9WKGyu190UbGx6yASFOcImuP1MloDAhLVQdSysULhe29AlgIT6JlsufXjy3
EnMLFpge2vl86TTjTF/TV2FgP1FsfUcShkNqRP9wHve3ItcfkUMOClFxW+nSTUqudKVGwxmSxeT2
JisAl9Vy5ZRU+OmV37mEQ6tN3E2nogLWBdr9Kkmqh17A/Kbj4D4Q2JhCLUIjZlbHkRSLF6jwCtiY
UcdYwLIcx/lSK2Epw2km0XjktpOsPs4b/937l23y1zLi+Y2p1F+3/uUH/9j66etjVxUCd8PCceSf
/tj6dcwNGjMH6TBm/GH2ISFJ2fqSyf69y+APAZGt/6P9iDOko+FS/Fdb/18ERMgrOv4JqKgkBvSf
Jx9NN3RVJqbhSi2ua0J3Uyz/3WmU9BAHHvqgAJwuJv7lVPT5aCEGmRgdeL6rxoy51D0q6pVj3bCA
az7H0QvugU9vwt8c5PVl0PRJFF0M7z8+4nLY+XSU10e7jrihdFdxyYmBWDU2gAmUUOYWQdHcDHVh
H/oWe5RILN9txEbEU4X/bfStdZu13H+DXLyO9DPuxVL1OVWl6WlNYbiGHZ6sIn3MbT1ZlbX6tVeS
70C6nhcvb6ER1JLYBzEJ1CxJEx16hh7a65rbE2GcKNiZidg2xDU3FhSdTYBAuvWnMV9FIwlbWSPK
0NxSuz6YGWWwV2UX3dp9f4TBQ81A1J+Uyuddgk+V+XREVQzGzYn1Rww3Pp5HzjjGrii0awqIXUZu
+1ztEBni4Fg4mtsZykOtcCPv89d+Nq5HGe56jGJrrW22UWuyAdsHeOqjGwpoKgi5QEbC6Vx0cr6T
LcMp5lFMY+6KKhTQPegR0/JqV4lQaW/m0uT/6LJ6LK7SwDy1SMmXPJuZJjVcUNF7q3eYtidBxw4L
/6mU0X5M6Ntx/IuiJpdpFk9aiilymXTQCU/nGpFYOp6/pqCu1oNlnsfShABieH1Snlp/IHQ37Scj
ulbnivYA7tjjdBqm8UQkrvDaOVNXgTUcm159IhuL2AjWNMvnByvFKOtnE5n8Lr/OkxZ3H7Uxc0In
biLdkWMCqzsJg2qksbzpE5WseLpuYvlQtRMRFEUNNnpWYpLphnabgpnHDFdNJ46+WCNsne3nq6MM
V2Zo3zYdQ3aN5iM3DOuNVmYHP42uu1y5G/qc1ChvSzGmaxs8oszar2BsAVKL+EYHT+J01C0SFfG4
F3sQam8gZHOVw2wiBnM71P1GhcrWch3PNNUriuJuzs3rzK+q1TA26Fdp0t+OU3grlmpADDp2aT+b
UFhGTg73paoYqziqv+dGz6fJ2eJOApOGqQgSHfJo/00dgmPeCa8ytXjFCrbXs5hKa9pFhEKNgh9c
h1F/Nq0Yf16GJ8ZapzJfdaMPcBF2AO6MBqaQ1SgXrsXstsqer+3NZAet60eE6Wmr21SO8WjWzUrn
G7KqknxYAqfTLhlwxtZpvimjgLP/pBySZr5nEgeJIW0vUV3cxb3qxTG32c6nX6mz9Teni99iaZ+L
KuVeEOMhHpp6cv0GQJPl9/buv5vex+zMJO3wy02vffsf961+f6vf/rrxLT/8+8YHC4wtxZTQtp3/
N9n/Y+NT/8ONV3VAckNEYf79553X+g/6FCASWyxuetIkf07OwHELzPAfNWJM6YHa/v9MzhyM+mQY
0UkAbouftRgj1JShRQy/hGARmss4vnx6Wf5mGzKXaqNP2xAbHvdyE0SaQejTYUH/aTbX+Y3Z+tbY
XbrZWut6+X0qzUvqx7cwRL/jvgHaVEdeZhqVpyn5Hmv6rq5i/C/AWYUiYEgMxjaX9U5p1Pu4Czdm
U35VUk57unPqLA7VdGQM7hymV9R6W5x3+7ai6gQAB75FWkMDXsSVxWlwwjc4zQ1YJms/LurcYKlA
VBfBjqZc6ZmLilfpqY/tEGXPBNICzhC1L150Pycxv3SLEshoJFjha6uOtK1jadfsK1lKZZ0iIWJd
MNYYL4goLPpiPEKwNhbNUVvUx6nOqeeNXhNkSTDo3LPRKbm1V7sU6RLr+wwDt7r3ETVpdj/bYWCw
GOWvyqJ7agigWaJctYsi2mTzvOmAkQRleyfjzFUQTw3qXhPEVEhJh3ZRVy1k1jGxD5ilcjeYa7qD
AYZJ+eZr/YBPK94F1Lp3SfTWLtptI01OyPYOVPeVgrhr5VApfP0F1MfBQfzFM3wyFzW41vtzCo1M
IBPXZbUTi25cmM5jvCjJc5Je14u23CAy0/b7UlZ6C/IjPpiKed8uejTF8xzNZ/MuWrTqcFGtO+Tr
adGxrUXR9pG2Kd6BtbA07yJ6D4jfvBfcUnLml2GQH+AprADVPJlAXgaEc4GAziZ7xWDxNlyU9Q6J
XZr9OURyL6YBunH8FPYT+x+ifNoPp1BP78Si1rdx+qQj32vI+MLvNgWyvj1bG2WsXwFyIhe0zlYx
mhfwWx5m6RGf1/wVy+kah98KO6NnJOOpHGLb7SowG6gS/NKPCQO0kICRA9+CTRzFL4GPk2Vs2nij
cBSUZfV9Ylxh46ozGV90tfqiMM5oJCUzCQOOnkGHaqXv8zL4WCYgIaOQJF7S/st0xFTkfci4pCo7
5iYRRjI1y94dDTOMskxXbLqOzsy18kMUidlTSq33mAvEDGW6ZTqj6DUWmWViM8fDncoIR+mY5ejL
VMeq6N1l2ns7LhOfbpn9YI1fLKRGw8yYyZBuRv56YFgUtEyNIsZH6jJHcpaJEuSyfh1+jJn6j5FT
9jF+yiYFQFsc9dFlXOZTFccMz+GloD2pDFb1b3OsIvTMUNZoC4q6bme8jfky+SpswV0362ieFwuR
ZdJxI9XHth2vSrNksN5Rm6UZBHQ0vWp2DE7jdRB1J0CubMJJmW81IKP+ODvU6OpsmWZarou2KsB0
RumVTNUUZonS3Mz9QgTyyy/WPD3WvvEmk2rH+kbDn5YB3kOpnlLl5CdglLSUgXgiLHr30oKJr0X8
g5Gqnz51cFaGvgZap4srE2mElWVVx6YHXaDzijI/ykqyIGo8aTnc5B0VWSXSFGvUIaAuKTWqddwz
gEceT5nhh1Z4VlP1iTQjWR/1MDh+us3H5NWMfQvzarsabF8cNQA7rm9G8r0cFH2F4xr2klkN2X2i
ZcOGuputgaF4ZcwUU4f2zMAsiurzbCcXQ8dwQN2xVgnA21DdRsgd4CksjyVvr2t+tw4MUe/TqX/A
4XCf6RlnXbdLvQYOzHoa2oyWK6qEB1UUr/lSijVGynfyQiSXuprxM+KUV5fCvOIKzt1gSiTVOXHY
bwF3TFuW/vDJr3gEmPz3OaEpDxu9c+imOkY0Cy45Qe9VKg17j68qdM1C3ltVgbJvxsicmU4D1WT6
PsnO6l74072dW/NSr0zTd0f2xOoCnAnDuGmZYm5Ltc+3xVQVK8orK7BHVvdcR6m9Ge0pmleUuIXs
SmG7M3vUC4jBG8POam/KipdFPs2HaDPKCTdqcaVO8pBU04Maxus+AsAEWOqhS/V7u6uc4ziN/b5Q
4tor/HTiNkN0qVTVF0M4BvqgWT13otS8soBkl4R80CU8Jqq8jGd9dNo7X7fGjd3hfIo7OIi/3p7/
Mu4xOGFoHDUcaTnQIH6+I2YZPRxBnF9ayrmtcd5bXKKGutn8+mEIIXw+BDDy+Xgcrr5c6Ay+9j8f
Alq58BlDxNQ0PWP1f2BVurZBMbFc1u4wObwBU7rrgZyldrJr9PAUQvm19fzISnWyyHfFTnKDifxW
VOraCLtV57QuXppvRSe4m/IVMGf7ItSA49of57q/OcD87TOHOyc107SIKDN8+HyLtrKuiFonyS9D
RsZ6AjaVrcLi9OsH+UBY/xl0XEZi8rfRHqFxRh3yp/eBuTV9f0nXX8oAHihpgD2GARPTCw1aUJys
BeDzrJRpcUM2HzOLuh/swXSLibidb1DNEWfco+bupgsN5w6deNUVPVdKbDRmMbCVYy13rSK4REp0
4ILPa67zvREZE7gJKfnW0tK3pE0JngXRdh4YqzeaWIcU2q2T1vii4Du0aDpdsSoJd8IbuSoqYxuH
deKyFXG0CcW+mvVvkUnLuATyaKkwZ2V6nmZJQamclJ2qDfFZDcvMnccOjrTWRnSMI7RoUfDod1p2
Xw0YRRwtANJVcokUZbsT2rDuC7Y4jSAaqkyyLlX9iuQpgMuZK6xmpCdffevMTWfJPevii61AxpSD
tpti8yWFmrTOy3x2S5INBr6I2eToMfI18+jbKzyMFru6BX6WaSMJyf4tifTwC5rFVhVV5sk0PKPj
0rLWVJvIINVAyuA2A2R6cTrutGIej5Vszr/+OBCu/vn7wueBLyTWXkZS0Dl+UotIqBc5/9ZepKa/
GU6TedSupxeh0FjGevoaNGQUiDesNDECYk1rlxX1zKtCr16YyJ0eNGdii+4w62ersJ8NMw83TWZV
m65TQWhbINUCygrd3u7ttVqY2Y5eWtiz1KZ4dk0OBeX4Vs0KRBmruguyaFxpYYPbZaBivC0rN0eR
Fdn8pS7Em0PEGx9PIVd1pj8IHcZug5nNoEZTFAQuGREB9BnEc4waM/j6V0gtS/Mgy4CT7kQ+3vtO
fJJQbavCIFo78Qkp3W7S76y+PydxeEctwm0mHbCp7bOdUBzIuVFd04vBWbDq4W9D57YXxLkRK56K
cORpQnlT+EysSsd40QzlWQtJAlctffYhuK5+VsiOjgXAvXqrMjBwaCXQC9BgYe+ZSauubHs4yjrm
JWG8oyFHA0e9NxYzrD1C5J7ejEH9Uhn1Wy7F2pp4ntTx0OtxRcTuJHOxGQrTC2UUr6JcwpmKbpIS
l9hkz+uigUmXEg0sOdAUIuBewpexV5yboWq/Eyn0KbshgNnFm7alEpCOIU+nKVrTxEk0xhbYDO+S
BqqdXjjMMpxQky48KZq/TrThqShAtinRtRWa2NWKjZ4oRwxsXjgguGtgGctmA749d/Ymgp7Grpn6
w6ZleycWWXodfSFemihbakiOM6Aj6eCkHjSMaw05T1CI2iZm3GMN9rVvazvgXMdgqE7QvDj1tqly
lZZDuZtSeTCD4VjqRB6tAkSYUULVHFRaNEvkr4ZbQiogZmVrtDVCW8O1sNYyIThrX2hhFdOmMHe+
7J8QaWhBVc/Cohhz9M1THA4U9/m+f+z0Xq4aS9MglPn5duhnr+TcsCumtvEmgWGl5xQiixaTNY7o
Hh7cP2xt//BN/RmSoIfOFDtl0qGioik2Z4B3q7FfbEVXSX3WuLH8em34MZ/3207xaWVYqOOf9yM9
pBU8z1gZiuIbEdd+ZB4GAPp5MH9Tdv5vLtCy5/y8JzGpN3VJuFDSv/DjIw0NMdNY7UfisxNc/mhs
VpGv31sEl/dhofCZG/tjWVKwQJWldrYr23JFXNADHlNXMPB7V5gDvzNlvxlzAyun0T0qUXFVqPIu
5fjGrYd2Wf1uxLXk5W2wydroNad7UKFM5zbo8OJZ5Fq2mdUtZjmXg8V60ghWc8Tb5q0hn7AS3ZUz
SDDDOnRGu48MnRrzaW+VztWQABNj25YKsSg958ukuEpor8ZSe8rAfUepvx9KDaIwzbqtlb3N6mSt
0iF4qUanftIDn3r0xgj+4VX9SZT/2Og/v6iLN+aTKJ8IzJ21b48Xe3wN5/fJ/gdI2T/9/p82DlVh
Ki+CZCLzeEewnYDFw68/f385D7EzffoDPmzSn/6ATGSJmujBdLH068ik16Jdq0wef/0gf3UILQ9C
ZSRHUs1i+vPjqzTKBveUyV/h6Cu9/dIOGWeSh2iU//Bu6D9+xhdxyjLwlmhLfR1HU+2nB5riKB/w
+OoXjjFf2NS8+3Tje8q6d6PVk5u7T3ux6k/vt9EqfBzXb9i93vlGNztj/+s/WF88Tz9/2T59rT+e
6KeX1aE4jgIhlpF203vqSl2Pd902uyF/unZWKaL5ltd5w2TcxRCxdhgQr81L/uXXz8L6u2fx6c21
fgr/ppD8bP1/2TuP5biRNsq+y+zRAW8WswFQnqyiESVSGwRFkfDeJfD0c1Lt1PwVUnTMtncdYpNF
VgGJz9x7bsf7/igO+sbxh6134/isrPwk3H2ygisgoTvvnGzFvrq39h+iEBvonnPPX3fAg/uQ0Vno
hcrVuK92/QUYJHS/8GPtj2c1WHbWwTvUp3nfPZTb+5//6u+3Xf9zY72roBW9T4sGQOyZIA4feuZr
s20+aCHhbyEI8DDdVNvyWO9uXq4248EKaNizI7Fzx+wcBzx8Nnbuf42Cjz//rfR/Dj9/P62/e0O/
xYZ997GSPgvjxua3Sg6enwTrvtxFHypWKyAXfNQ4fhcgzd2553avf2aQtvn56//4Zv37Pnp32nDU
KAshS+KsrvXGmefTCoR5IhLqFw8leaq8v3q/v1/fnToIP4xpWovlTE3tT/OLKvaz/WUxNq06MIra
/vyv+vEZ99df9b6ZVBB7GlabjeeE6Jklumvi2/+/F3jX8xkCQold0kDl1knPmAN6v9oG/+KDceSN
+N11oZSNWzkLN1pNvnSZbxsdy6z7i0/lV+/Tu8Ot14oeLGc2nIX8VNYiQJUc/Pyd+tXf8e4CG+u1
H6u+XM7zJILUJv0Orml58/MX+cXV5bw7lewoVhaGczwNhB2YHul5xUD0xxg4xNpns36eoLn9/CV/
+HchN3GIiTKIFHz3kiCxjKhJh/Fslm8yL84gN8Xe/fw1fvjxfPca726aIvZ6pU1MccbDzPz+tix/
MVX41Qu8OxLXvBRGVrfTWeXQRu6eG8Uv3qZvz8ef3fjvruMkZekTFVzH9AY+yJYjvOxrWoTgiAZp
g/TWL08/f9ekCe2nZ438q7+7dTBJGmCgE55RjwyGK05Vskp9MIjPmFMOk3+zBg1f8K1NGRD2cav4
d8NGPtVvntobgxgYH6rMZhn8fRUku1/9ej98kH9/FL6/ctJuVrWIm067yAc5ETq7wjxUWuDnOzP8
VPlH1V9ObziVYFk9LKfZn39xeunyePrZh/Luc5+UHjCct1BLhFNIZgzkd9v3TkV4B2TpytiN4ZO+
jfyKie0WIebu16zFX/0KjnwufvchKdjPzWpuhjMudF+ETDazr9ZWC53T+Cr2zaa8cnYEtL/FT0Yg
dvkFV/rrL66THz96/35KvLtOcjSrZl9xaXZbsSWu109lVXfIgw/TQRwOqSxazjBwPqnbOiy3zc65
Gf0uHDfJAVrF5+IXJ+W3xux/PpW/b3fr3VviKh67oYojpd2YO3sHgFpsMdRdpSfNf4GcviVZ6NDs
GepdicB52LhUB9Vm2OXb+zSURcIfxcF/ejW5R/9rxBs+s6h/hV87LOfn8vX//h8M+/xLQL7X8w8W
93zrn4t7sg/xumqS4vln7PVfi3udL7HVdg2Lrf4/4HhEzrrwYJGSmw6sT0k2/dPyamN5xSDLuh+J
B5GG/yoW8QeLdcTqBN+6pmFZvJrkAnx/jzlarBVFZ9UAnNmt6DIhWpthHgvB9lEXscaoLd8WBuD9
ssJrj0XyqfScI242aPUDJsH67GDfzizlsirRRmUHExSZU1+BVK8vqGI+Lqr56HqNGro9ElpXGTbT
kn+wuwgk3sBMNY+ZQtaZcyti6Bag0mUGRgFTEMerhYlVE+oZqtoUeqs57RKCNIKcdC+/UocE5B6L
uIwNpBYvoebGmzUip4wcs3o/2nNJrq0JkkaOfRe8qrbXM8ESgwinSX2YtCF0smUz68x5Bs9kRqaS
72R11ovN3xk0JT+39YiUIBAQvayAXRlV2YuXeu5micC6jyWusGLB7ViZ0aFoEPUAiN3UFbg+VSpE
LakVjaRqNJL6URMhaSoVpYrUlqI+u5BhGljZgp52JeTUHj/gkGU9hTBVOpEbqVQ1jPnKFBCBDKli
RQY7hpVUts5S4+qRqeLn7XhNcAv4wKUm429iL9VZRwuJLMGEd16G6xWDmsXcVds7Uk+7IKydENjG
1XpepeJ2lNpb8jceC8S40VhLellzhTcBsp1U7NJUBorU8NZSzdtLXW8jFb6Fbh8yJL+51P4aUgWs
r/GmlbrgWalfWqkU1tUe/Mu8MZEQ14T6lkiKURSeDKkx5ng9tRPXTCTlx6lNYotUJKv4BDem1Chg
tuwRLbetce1YSb6FeIDiWiqbc41RKVLnLlNucql9XnNgNZbUQ4+ufYcD6hqvdb3pFspKU6qn9W86
aqmoLqS2OstVB3cB9tO4hzeA/nrKquvYjD4vUpldKC7pOmi1rUH9aCLezgxSHrQiQ8iOrttF4B3j
B9UQfK8Iv1sE4J1UgpdSEx719oG4Ks1fkYsPY39JmWErJFI5xfq6iILgilLKQZqPyLFbgjGAzQGX
u65Y4hyzwXuqc/VusLqvbrMEXVv5zRpvkVKiM5+P3qBsO1U/1UVyTuv6KLL+TJrBzVRh4WSyPyKl
G+eDHVlv2HBHRJSzYe7SkTmob1bTeq/b63XcIkrU2FBuYylUnA2b1yWys+h2s5QyokrYz2gbO+up
l1LHcvQeKkR27FBPnUwPIzaFIHbDj0kMG1cE2lMKS9gabznsGNSTgQdWDm8gdXWE1tLohytsO5i2
8dnWqDEdzQmiJb5fG0QCthRsJlK6qXdw5szSqXZerKFdlBJPg7qZnVK8b6X8U5dCUGKFMZGPXDlV
o6EJl4LRkq7BRUHqmNVbjaK0lNJSE43pWrEO0sBiCik/taQQVe0ix3ey5gtb0egKHuh1KiB2Lap6
U9YlN4PTapfZKF4N+JUbdZ1fx55dSGmLO2Ne0MlU02dkH9vWVB+X1CHks92yYmHdi9gV82Vv7sQY
f6rgWIT5jPzOXXZTVGPO7268tDipdrZdpQLRakm3BjoUEna9rwFgHh3FenDHKOSV2dJ75gdNtXRW
93UfrqywNo3IxKZV9GvBbXDj1N4dWtK9KMw0qAqmxk6h+7rMcUqJBfctR4Zi480Y8t5Ewd4+Jy0E
rGFhnG0XxQZWyFvsvaQAnvrBuMt5T3gOaIEeV+Q2F+4NoXlkgpBKG03sTJoIUcW0zmkwT9kuaRHt
pFmBKHiAusiPc11YQZaMubDic5LpOQiPdDqZilZt+ECXvcXuS1TMW8sGkEudauHoVntPoCRAbhof
RA30SYHYAbIL6AMbE+ez2q/pgeOYlAeTsFZCPZSkvdfTaGcDZwrixB6hnCFt8eL+ha0+LDQ2HJ3l
AEdpW0p7dpWoxsjjEFem2meBYrS7EdqllTdnfMbFodHmSzyIO3WpN2zNF6yazqluvT2EyBl9zDJu
51F/zb1RIHFybvGyZpu1WI3fK7z/6ikUhj+rp9JXYox+UErxXX+VUpJ5qJHUgmcXJaBHlfVXKaX9
Rq2kf5MFkPsmFQh/+v6IkXZAHlJkoYQw/kEP8X7jhyDYl3oCDJ7UPv9CA4nW8h8dE2Ng5I9sOBzK
OcSQ3vslzmokZaLXqXoBY8LNUq4gPLTPdfwVINoKDdHvYKGlEoqWzp5+NTf8e6c7Fxty2tg2hJbF
dwVENeh60BhArPV58liRC9NyaxqVe91IGFvvPJH6iuIKStsKrW2wnB5gBBJhPR4fGlF9ADRMjIRH
YHxLKGZIrthTBP+NXLyTtWSbEi7cmqCNhhOnmwo2GchxicXdKVFy+Zrue2wMfgZlToud/Syxc+wy
pcb9KSurhxUunQefDn1pSaqd/qbM1acWgh3SINzwMO06T9muMO5SDxE4f9mu8XD+zB64WexBvhG5
rANh5A0pDwNlcXGWk14HRa/rJ9df4Oq1sy4oMBbnQMQTUMjIPGUqWfLZrOwhiCN2Yv+xHxUgFSZD
5m/sPvtubsa7Bc7pQwHdr5CYP7t1jzHcP7W0Tq5kDTWquCYOlJy0GLGlBS1wmJQsEPADTTiCtsdE
tYUsuGhf4WN8juENLhShiBVAEK7ujDSS9X1BMVJAKTQkrhB/8sM38tSsgjJUUGIPEm64SMyhKpZ9
BveQNfCmgYM49rxncQwacf4dk5gDUunOgxi0ZBM5Wb0bLB7GcCJS1tdmow6H2qWoHWROOeRq8AZt
rXYovlKTTWTfG4P3XEwt9sDB0ofQzrGf+YIHlCktVYg8CpNDllM6aEzvuhzblj298VIlXYs4yNRD
wyTHG0M7/zXDe1j7F7SLPCby9s3Frc5klHIH84HvaAsqWAth0dosJ8dwzkqiu8GgN/wMmFqkkz4W
wnyqXAF2U0z3zZgnAbjENDRb62vW9G/6Il7XAR355BQfY8DhlLbGNctBKlh4O12lpJtsHgyiuqcb
ATEwNLx8bybdk5tbw9ZQzGJjRe7TMvBUaUw4LLYzf8UmgNQdkyhXzuCFWIzdQMVVeF3Eyjl+Kqaw
iuNjJbKvpuhDq+R6oaa08vVkV9Uuq5vbycgAHkD1bEx21DYYY4AlvmPi0ohV+1PUkNVo8S8ua/F4
bW/TqAgWk4S5uX+qLAuk74JJFJjZmob8KPJLnTxU8HL4SDx8RUkQwnWCMNgZ+QhIlrtxqeNDniSn
1a7Oa9cQidS84U/uIDlOnbptl7x7+Xac/vdcMRlc/bJP78b1B88WvvOvZ4v2mwWrzMJYTmf9z1BR
/TeDgArYVIg9pbn872eLA2kXjzS6K3pnuXj7R5vOE0HHZ+qodN3/zliG0uX9s8VV0dBxw/FwIZro
PcOeFG0UHq4rw7DTegujukM/XehhIapPaWe4GyBSGmyCDvEpacg8b4ZDa2lvEw2XX5flfJyLgUz7
BIXeoI77mCAwBA9ojjusWHWFSGSMi03mZF/mqIM5OyGinioMs8VAarADAogVzOLdoIB/sDry99rZ
wA8LkYkFxEMcDzXmy09RZnygvasujhYRWCzoXsfUiTkHtfRYFggzTfDxOdmddHkEdVBRaUo3bmOd
Iqui2sL4d8oasWxVUREQJu5ogIFtU6BBiDpPVGygnnaWLOEmarnS6e6Bl+KmWurrXpZ78WDsctVL
QHT2L4ssCes4njaOLBMN6sU4be9Nb9kmspDkjvP7rksPEzWmpiVOMIuZRUAbkqwqcwhlTSrKPUlw
BAajjgmLjtWktd5F3ypZWdM6srot0hUyKAUvMO2jJyvgjFJ4pSTOZG2cyiqZUnc3y7q5lRW0Imtp
TVbV40peJGW2Iett1E5oUyVLhlI847lf919JvXpz+HGjrNhTWbsnWv+cjJUZ9LKuNynwM1npA/7B
KGATdy67AI5+UpFoDFwaBHhi9U1batet7B1U2UWksp8gf0Hfrbr+wZS9Rj55oUvz0cguhB57n8u+
xKZBUWWnAll+G9G69PVwQ1pyOBTqrqC1qWWPo1npJ092PZXsfyLZCXm0RCut0dIujzqtEq3nZ1P2
TqUx3dEkU4PQVvHKYiNotCbZcVWy92q1BdcD3VhEW+bJ/mwyui+a7NjweuiHVHoKE6V0Nq0DyHCz
VD3PtRXJLh7ELpuaczwpZG1Kh6L4ZlZ0vhkXjaYlZ9F2aard+ThZBqheZ9s1Yi/BgYtlzKERdU+e
OScB8nsshg0vgSCMZ9m+m1kUjRZvsRtHO6VM1gejqTXf1LGzG41z77b2adCW1yJp8xDMyh2Bq/HJ
XqfNWgLATeZQ8zL2TjYyY1R3X7O18Q5D7XwVjkMQrrvydJo8EhS1/hZBOW9xdx1h9AuBEDXH2mFY
gqqLiAJ4ZzUG/Sh2R18TC99BfKiPBmFBUhW9FU10gzB6xIY+qJcpGcHIjzzqo7U4tXqlblbVbvfx
iJYfKb8TVcc50wE/YtLIGnIKbXsYrhJTwdYyd9arqkb5h1o1G+wOLtAjrUgwrPz3dPrdAMYu6ydP
p+S5H37U9fBd3z2ZaHlsVmDgVL1vOPe/uh7jN8wQaH75CjoXqe/8o+sxtd80F7EVzysXadQ3nOIf
A2RT5aGFBvl3Rxjf/q9Q79a3rubvjYTsekzZX/GEtIi+xgD9zwGyLl+8KYgQUjm3gHGj7NTM+SMQ
P9IgWuXSyKwx2vfrvKCm7xYiCJaYlIoVEvkkXJTXEsAENSKvigBmtRsuhtf4fczJ7Rp7txi39hBt
SqHtZ0Z1Jckk/oyTCiHXU28NAUhrJo94f3rBZMPJrpdhfAUasZkhfhB7zLBTazj2zBcbAGK8eCky
XPgpSlqO+6zp9p3nnXp4cADgt6tOzAJqX1+zpitbrx8cXNWzjlB86cx0l6z6c0F9BkDyMVGJonSi
aARuiO2gQ/NMKwCCzrT7oyXwF7lRcxp02HMGUZlJdg8uvgkE01xipsVtpRG31bvNFkoIbGp+uRPB
bXgt3Jkbs9Iqn/Pt4hnFVz2FFrjoaHXTmBGWskQfuqLmNh9FqFYzSZ59dp2bog7TWM831dQUQdI4
VuCIekED6m5osujwBgiDBMsxVFSOZQuQxa1vEyIe/Mr1jhp2FR+t8DVh3h9aJoisAm6xUiubUYLf
YC3t1NV90xQJItSrW5GwHzBd7ynLNDgpDedShHR3LIwyWGzjw1qmT3nVhnPBeZ66NIJGml6xfzhl
rfpGi2vvMZSZoZ6OyybpbUTYkXE7DsmnJOP3j0HngOmFYms3JpN8UHBNZZibsh9f6yw/IPwM55i0
khRjyjJozN1TXkcVPR2LV1HRJI/RUt6JjrCX2m1woBjjLo7RerQVcPQBvXo4Z3xfQQvFLCo3d2U9
Xurahb0W8bn3jMA10WKGap60Mb0asvSqS730oODVCyybB6Opo5T2+kWHNGHA3xiaXWTU5yrxrpAa
O5QsPY65PoVVUj+1WZtu2wK19Jh2oTCrwKYj9hGbohorpn2rqTe63pOZPJeMtqNTF4+HvmoeRmXa
1X1FHG29NW0BbbxM+yDuJ29j2jOT0wJnjKtOj2ubvvaTDmZD7GBdLNDm2sKvbGkt4a9anJu6nYcA
6sy9mxfbQT227C6n60hJt4vqYW2rLppV3egTviFrvSgjxMNpmXa6LB1H8lAxTa8M+FkU2dQ3XKBp
FNgKnVGL27yu+KGISpsAi1XJdgK/c6lObzRWeShKg6ZVmo6NvP8iMuhmRFk7mRgxtbQZ03+P8N7K
OiQa7rg1Mpn16TjSfbfyMMopgnJVGAT+Eh+89RSXuTBcxVgkJDBEebYtJ/PraAHTG5P8a21Mj/Ch
X1ZnzpBJo+SPjflmGVmQZKk9BctgD8g/9AlH51jp3UmPi+HE2UPZ5jbMM0Xb6n5VDgerwqe9NQAe
Wg+k0rjuLoFusxvNpeFeaisNd4Lo1o07kpW0cSvFFH47YZLdm662YPkzCNM9K1W5jPeeWmrD/ex1
inEaxYiEzaqK5LFbTX265EOzr2OKvybDIF+bublNUyv2W3V91rr4ro8MIoRycTTNatx2Sid2rmKf
LEekIWs9E/+U/dLWdY/f3iY4JzMfc8XGmzXB/dTU1T4aNRdzXjF64X9HPWDVn5vIfE6yTg8HF/Mn
Xq43+PBMnJMan341w61UJ5mhizuWOOzrhXRzkXoIWRrl2qy6WyUaT6Vbf2bu/7ZigZ/FAoWedR0r
AYvwakMcgRVa6gzK0Gme07y+s9MIz6huJRuWm1RzA45BPTtHvXelZAtZ9vrbqqn8lNh6y6fyI+Dn
UFmPTA6y0LQAiMbdXS5Xk2qiArAMRXEqEudazQssgKJ+Rod5SAwD1iVZ5EGbEmvHxXi2nRyjqeXR
iSjKLQtbPZwda4VzMF4j2QUKIaKAd6HZOxW7lh6+6M4wJ852ggFQrjsEYgAVhJr3YcjD1Yo/6V2P
nhzXXJgo9FRu7s28eDeSaOTtjRVryypkfsecAgt1ITmUooFzVc9XjTvgSXInjECacyE8/JoJd4mk
OLp4MFv7sqc2G55tb142+pTfL3Q+VJB0Z5HHA8TKSLQfSTodGbuxfT1mSs7vOK6P2MTwNY+2yTWw
kouh6krQ1cNr73kPHNBbtSmu8jIh9Ds29mh6HoA57pTUEQGezAP93M3kNneeVX9JedD5NLZnUwWJ
anHfTew3d9GqdcQwdIdYmXgkDHPs6xb5l0meHzyLOd4UV0Hm6u2ut9I5SM0eH+14QyWyrfTh41Rq
ewLrKa1HPI/LaIpNrpbTRtXclk1YhJgj5qsOrQqDLOx8CgHeNruew8AbShZ6cVGbPvNdZziOFa1g
a7Mr6cUDvmcVLi8PQY4scE9rvFNm7VRUnh0sM7V1x512ijX9xtaIelL6hkToSi0Pq07YDBYADXxq
GwWZY2BmSG+SMYOsUmNtrVgzc8hxwFnzfi11bgnLvdE7HAKuZpQYU8RLVcefUBJe+sp5wRf0Imx1
2/T2Y53Hj3Xc2OFAbltUNo9q7e4Ns7uf4VrgMAEvu+SBWiRkf8/PMTOm0dFfvXw9EqR2Sy4DETmD
el+Z8hBXrC1nffLfskH7vexmfvKTsjvtyd6qxx+MhPi+7wpvYmUlQEEGFVqkEP69bjB+czREE3+s
FOTc58/CG0CRilNJpV5jlPSNxvB34U3+INsL0mpVqQVx/s26Qfum7vxn4c2cir2GpDfY/CrvCm+M
tBj+Oru+EZ3KDTaZs282Jnokc94nDicRwDLhj+rMQsKw1JNalBSVdurkh4JZ+GNK5Po1Yy/2WYbR
3mccHHtLjP15zqPmazNI43vBzDopnIXphQbPtoHFwhCJIvCm78rh0ma44xTVhkyAwdTFRagV4VpF
1TmPG++rqyR3rLqtS6xBh9aBHO5W1y4fBnexmMsyu5l1a7we+sQ54HuC2u+MSr7VrKX+iAkP0IvR
66+4oYtHSy2qfWz1zHebqH+eCJXcJKpLuk3nzTsnm7sTpPDmdqbBLsZ0YKcdN+E0a+Z0IUzenF7q
HhzhSauidcG7W+cjRu5hVF7N2MsSssuLsaWE7avu4iSUi06sieQ+yTxO+XnE2rtyCDnz2fWYxJH8
aDJA2tYFcOXKLyZc0qFFFZGebKWiXE7HYvmSTXpbbvTZIx0xEk/2XBjPRF5YNZYxu9qytGTPMNrL
/TDX67PU56CD0VMVHxTLhjTWvF3UTPEXrqQ0UKt1fY76ZH21U/HYKe22itOj4jDDKTVqmtnqmr3S
zJiTXW1cdjnuZI68YbnKa9EgYfBy5m1lDb87neMUG98AwhHlBYV13n4ynZQRm6c9GBzQ+0aB25qo
8+Rbbod9MuvtexfP5WFQiPBq1NY+C69VQ1YMnsqy2CLtu1dLqs/C+6I4s3KEMen4jSgvmaspYTdM
YjcpzPM2c9G2QyiitHlzlJrkpiaq7uh+e+qE1f4cc+6Fq+dkD4Ky7srJzOwagWv2BFWBZL9VwpXz
tX5aR6GcuHhJrHSq+QIkKnp013J+qLKOSVktgD6lorlJJnJuKozFRViZJh68vje1DZA80ut6YfVh
3PGECOLKsvf6xPGLDdgsjKMjZuOWKatLEGhta69N3azbVqJ2PM52f5ixKf03Avn9LEbO/ZOzuC6e
qx9Q30y+67uTmOE6vkQH5/S7xa/+G8sllNSo5XCHy53wn4tf9zf5v8oIGublSLDZCf+poYMFy0hf
LpPxjzn/En5DesX74TwBszI/RwVQQ/im+k6/brpl1lHTLBd3iLsbFGXlXao1zmNdmPpxmfP8adEG
Z+sOk3rN+DNCPjElDEyn9aPjzcN9otYFcQAap4dXRxtHGbpNlbbJhjircyHzHSdDi64sy+tuDTHw
/RNwvHAkdZNtHtNLhQZe6Gvr9wOoAUzO+QsIVJZbFdGR6gJAu2t68blMkvgIcWyF+TFkIaPAhQmE
2zDcWD56ehuQvfe8RKVzHLkjOSSV+VTlNelU9YwfcfAi0jbVCwg6vDhpngee3eY+mLM9Q2c8qJ4x
4CzKVlnfZtlrs2izeTtU0K7XNabZa54SEUco9KYglSonklsDkVX5QV89iKCs129iLX5U84U4KqPb
mk11a9U49QmfVXaDHa/HNR6NY5KozqZAXacpbX8At+aFakI2WV5U5mYizQ/DN4tk+idANWUDy62e
bteOzNGm6AHhKtbqK5aF/sutKYa9c2Zw9E4L744y8sxK58YIy1TTLj30nnBx5ubQJv1x1LPP7OKF
XxZDJaFw2Qbb+jGJ23UIiOtKNpSdXVjI7NyIEN3MVIgGJFVXEK9bfsvZlYm7k8zeFYTwKjlpvJDA
Qf5ajHlnBmAA5u5tA3mJExtYI8VOJ9RXZynqXZky6Zelz4U42ZuaCGA17ol+o7hsUBsKTmHfIS44
krnBtkwQLmSWcN/TkDtVeeoN7dWyyBvu7fl+Yg/EtmjKZQ4cuqlSvTjEFFfEFU/EFmfEFzezuks0
aG+rTDa2I/uGVfB2JfK4XNPBtwlB9kxoBquMRaYdbnLlAREGz3+Ck9kh8xWilEu9+2LMUNs9MMeE
Du5IentoZfqyiBpUyjKRefgWHdrm7CMC3bDHF9NFGEhdRphBVIsrb+aZzwoqza80G6EBnm7ansaL
jNDROnEV23p6+O8w/v0wRkn8s8OY9cqP5tF811+HMetQU8pcUOH8Een93TwaDjsrVFK/KEmZLH93
GKPZYRyInFkqjb8nkXEYI7/hZyEYIeOHOvZfqHAYo/zjMJbASghpjMRdcsNJF/9mrfjONIDCExaR
mqkX+PdcQJa8lgx5VXXZuJlMqiBVZtgqESrDTPM+RsOU+JFMurUs5wt87nsHrjyiVT0ch4FUXOJx
QQgdeuJyc5mb28kEXRDeYSRjdXND+zzLoF3iKftT2baHdqIoWdOLMSiHkrO7J6NXk2G90PUQei60
5k7v7isSfVfKRoeE32G266Am8zeX4b9IMu90Y3hi7KCgU6hul1zRuFWUD4qMDo5kiHBLmnAMqKfI
HgtihueYvGHAzHe9TCDu2p6gXutUqi0r3bXaLTKtWG3MSyLzi1XNPK0QO6dqPLl99LXx5lOq2591
Zq63JlBiyqGIABlaZfayT+yANmgstGd2rIs/E6G89t3HlEjlmDG7z1nZBugIHwSxy6PMX64JYs5z
93qRycwaf0NEVHO6Ns+9zG6eojzdzMh0gkQmO1dEPEcy67lzyweejRcoDJ/Jy0AZRCy0cNvd8C0n
msgCHzD51iVCGoHOJdfRdFuES48zKdPLCjbM9rbjbF3PU7JTZR5172a3pDSYDC/ElUtk9dyTXT0T
Yp0mFmnWOkJojqKPrUy6zvPh0SL6euaE8QcZhk0otq4Z8VWSs9ZNkNFUBGczFoagQJR2H6EO6QnX
1gnZVmXaNmMJD+T32GwIbftaxc59HC27MZ/FBkHpcan1b9zQV2E2UvcBKHX4xL/tq5r9tTm5SFp1
WGVJNtww0C+uPFF+sK9qLS+YnjFqoLgJEyNKmPX0b4i49pnT7WyeOtDUu3jL/3itje2mqaEpqfk0
gYLo77Wp22VW/mQuGnJaDmWixNl2OF4w1JAlqqq8HbNk2bZ9vjUH3H08nDdLAkGK8AUXNViH6qyA
m1NKJ/ti7PS4PuWWuS088Jo5BYmZz8cswYWfdLhkPN57MzoN6A+ANqfO8jLGdfcpwWxJAJ1HFpNd
V86d3uCYi323K5VbFVnbHaQPBiCaSLeDoW7JD7JhpERveSxeI8tTgeWwHFJb5+hU4mNvd1+GnH6t
qetbnls7JclvNTQCpOlYAauvsBEk4RnOFKaF2m1dQAcgXkz+OIKYHHaohsj24BzMTRLRNnuFswbZ
1CMPS8twqMXWsJdnYZNCJMRnN6LK8pYHPmhwA5lyWFLlqmqTHWDtQ4VE3ZaR8FkBgizaZ/ABc7ci
Z8UlFthcj0YzfNLaDs47LBMdIsVU0lMYKb1NSrou4Z3EvDi7mQF62ZR8IB+HLtstYtyCUg2mciS7
PooZ3DpAo/owSb3HMgOn0XfJ1UTOIorglBCx0h79NUdGS8XIQuOlB2uqDsCxhNNscgoko1muQYEc
5o62r9RVht7zzGcLJU8Z92PfvYzddGHpHvaZ+UFNY2a2C/GguUOCLeJAMyetXWW9BUXc22q5em+N
0SuML67OicaQKMCgB8SFZFAESgur1ihvIhVZe0I4T5aiH3HTKUjM8Xp2qpNQMN2BVw/M2IWvM/oD
2eQoGlgQqjvShkmDnT6penOI0PqSB+ls8qzg/BOVAoSnvjMANwXp2l1MFaldnO0LDsAmnc6RvX5g
Dg4nbbiN9PHYtROJQKgjBQq6ddW3tt1tDEU7MCufwr6uVk5hY+tZw4kWe+syKgg8ttxto37ByQ4d
Th8/G6lbBMwqjAPUxhutWvwmjm+11b3y3GUCj8YGxV7nowoOnBFvEsChQ2ippN7BiK1x5yXixiiU
bV4sN7rnvhn6yqakCXv2EH3nKsz6yY+cleGyDM3N4LgPIgXGV1pkHYjS8jYi04vH3IgWUI3TW9aP
xKapH4uxQvdXXyVej7iMKDFU+CzUujcrBik2as05EbjWsvUh13TITVP+kRN401fWbadEQCdV70mx
u0+iBZBfJixdx9JByoCqT2MqmZMEJRjewK41B2kLMZdD1CJhYFXXLuaeGOj841QoM2oHFpZbZR3m
wBXuplDTA+tKrCNzuYaiTr6akzGGy1QLIG/as7euF60D+0i5EIcxJBh2KJkfGe2bM1CTegP2z9Th
uFxEFSK++VRn+k1d6ncsiWd/qk3YS/0LguBwgOzmKMultwXTXM6vDi4e4NvqQSzKR4IyPhQpYsG5
MsKmwI3hQueecnsN4HzB+KXOL8ZsvO3Y7m0sFth7s1IpnzHriKDUjCn5hfFUl73gP6Z2jg25TNVt
S5OjO1kjfe+3IvhTMxfP8C7afek/Wtvppg1wFQTe84e7/pqkpk0dDPv0ytqBzdzX2+QI4D67Tnb/
Fbi/F7g05z8pcCnZXrsfzH35rr8KXO03SdGV8UiWRj/PJ/RXgav95lFxQhWRtDtd1p5/ThvQkmty
uItK7w+Q/HfTBkYMtqqqZNVQHDv/qsCljv2fK4iyWyef0kScxaX07gqadHYpreL9P/bOrLdtJNvj
X6Ux7wy4Lw8zwIhabctLHMdOXgjZlrnvOz/9/ZUdd5KOOrd7ZODmAuN+aMSyilSJp+rUOf9lvKA6
XS/RaskWNZyGGGa27ZXAnKPBoLBnSCSPXlZs+769Bv+8MuwYBcsKgE8YyMbZkNEPxD4XEhue2lSs
ZTcZtXqpKg0EX+Te1kNXFleqDgcO+VLEn0bfWJHC3TkTItaSIT9kcF/AsE1XaYhQq9fjkCghMDbT
fOyY7KRzs7wTvUArdsO8B+1lc6htAW+5WapexZqUbLoUMe0UrXi5Coy1ZA3DjHZTvVGoB+MDYmaG
Gxbxe12x931cXufUo4u0B/wom9Imosl34jsJWUvjFBdySw6rqu8ddu2ZRzqEhUBPk76d14Jv4vXO
Vgb0V2pqMhv87kqOp49pW9wAZj8Ng/ozKt6rqEi52alX3cyOznRDVNDJKafCfpwclD3HMS5dW+1O
RyvPXXTiS1dq4f8G5rB0VO8hpmRN0TTn4FpTyCm3cCbvohAcpaUVnhsGabXojfF+CtVzMOz8g5Zb
GPgJkGWttC9rzQbULrViiwm4nkcR1i0RYbcV3CCLHHnLYSlT8lbpzLViJ66m/WRTCDes7jQbjMq1
KsumzAkfL2vrAiYVWoOVjZaW45Os9Kp+W7TJtpWAV5d6segG1ZjX495DgAyKTOOqnr8bx+yptfx8
bsX4Ujb6BOZUbhJITuqlV43mzDJLeQ3jEADJtLPL2pspYG0oIOU45+g1xpJmvulo+kVRftXKqUxJ
gkKMnVBCKJdGksLs17JVq5gYO/u3uIQ6syatT/2qSeadRFfQpgU4s2sAfWhhwtMcJ3ltJRnrY4qS
TC6UlcLS+YgZ8GWcwqAra/PU620g7yVKUMDodxS+sF3r8p010BCuBymc15I3rb2GzLdvYlQAfR0a
m9piDKpMBaAMH62zxr+2PItnCkjlWk3TbUMRwm2z2Jkh+ypx9LNAMej6KTvflakEnzJkHmbZkNoL
ozbPUlNdm7aNhYjvXAxZXVMPUsHiBJgq+dSPUemEpNh76Ackw0U+SBt6tJiI9fEDO9FtlGr3xYjo
sw66B3G2PYvUeaWSjlW9fd71hryIbOC3dCq6M2esL7VCe4wEbh3797VG26GPnPNBza7DLIlIIaZP
SckxtsYohUQ4ipaF6FI3HjrHeYk4fpDMyCf30YSA9Kh6q6mlHo6GvDmrdZHc+eF1HviwUP0wWUhF
fJv1+a1SBRi7dfqukqPPmcmJQ2nQiytyrxCks22b2x+jSjpFNPcEHz0ZALCxMIPixMuNCBhJC3pX
QTbLkT415Uj/Jj/LqzSZ9Wg2zQLfumsmCoqxrznrrrCceZ066boH9jyDZalfqHGOO2AJtuLxv9vi
87YohAL+fFv8sA92h+o+4l3fbItUy1WDQjt72LNz8e/bosAhUpoXyHQ4WIIY9WVbBGyoA4K3beCJ
GKwhb/y1CA8xC+9mqvCOKmrwNFH/Rt3HUChJfZ9Y4QpjCDaX8GABJv6HdmiWkG4l3MZF5wRxPY80
7cY35HWUZdJJm/g4c+iTawjggte1m6EfFXDxqrlQOuekMWLTLUAULv0IwV8phxwY8ThmSpggrZgu
orZ48NWBR5ae4QDr0Mxbaa5J7ccaNeL3Yxr1K7MyPWCzI4TowQI0jV58gRrllo28nRm+it6Vpdw3
Xv0ke22zLvqMuI4UMNp5HS9AorwfleEK9IN5VcI4gXLd23PanuhJ0DSdJY4Av7dAI0eHxRIJtYU9
xMvIb6W1ElneIgIdPLPb8FHJ1IE9r4Nx1mCVRJ7OARKSrjdrNOQFYy9TLjw1QlKjzfhd4GRrCwXq
WcHlpzDJZhVW9VwFKvxEEQAQk8BnaD2UJyj7eQBbRV03FXsaldtdg5jrqekT+HnTGaApove5UQv7
udNOkjnQmRrilSlRPgXI7VdtBVqKokUVmKgF2NJNMdXXTlVhVCXbG6OcLqs+Huec4m+hWz/kVX5e
klHPKiU4UWzj0mi8D36HPndPGtDFzlNV6Bu5dbZG3YNnryXTVTLdgsec30V9cmJm4achajBNdqSn
wbcDt22cZZh0n43M2ReZVW4UnfJNlDU2uxbT0iUckbXAD87CsKcyhPb1ZzXLL+0x+ghjPJ31KQfM
JDOGBY0XLLE4RM6mur41u/qTbYI31NV8Efthy8k0REYgKT/mMJmWqQxlebBNf17Lw4ecrz55BqGF
ndwssknBjQSHFtfX28tCoNZkgV8jYXvQi+aOkv1jClFu6WnKYyEwbzhnNyeZp3KCBw+HO2u3NAVG
DrFun8urw6qVISLKz2C6UODqCl3bSAJp59OycjU7JxCA4Y3A8XRgeZrA5zleby2UqI7nrVk/UXo3
udsxdYn9wi0Exi+crJkZeNisAJ0FY0WMeEOecC4DHegppUvzV0OOuVv5HbWYwB4uNCCFKtBCzu8X
ZmxvJA7MrbqBAe/1W4cxsXe4LgQ60QSmGKfmreWkF+BH2RK0aJx7QBpj9DlR89/XWXOHoi42LQP7
Zh4VzqK2nMrNHayJmgg6QlxsVbVd1VJ6UwOijEv/rKG4slaAV4aYO6vALfW2h4QoEJjVMFykiYpn
nJx8CkBrGib9f1PurU1UWmeqk56HIDsTAfFEwUJFAiGeBEgeC+QAKCh40HDTgg5VQYkqoEUTARu1
BYDUBEmqW8ZtW9UXqoCYBnTT5oOAnSKrigWCgKKy3aEH0TYrH+c9Ut6J+gkdxN70bicBZUWXv8Yr
GBMHAXOlTIYaHklSAQrWm6p9KWCxnHyFUoW6ppk04dsGeNZhWt0OPK0KrrbpqbZpAmpL8VhHYLYy
1zE4XDQNT3VwuWEQYNcjoLoJmF0Z7O5kah88ELQYEwDrLRFkxfxIeW+A+EWYSCAqsytVgIGpgkBd
a1cY+o1ga20PwcvuqgJB7IEk7oJ6Kz9DizFECgXY2LPSqwT08WCF0kkAHjkUwGS5GU5MkMqdnwDO
JSV1o5K83sz6eJEIaPMkB1tMsqFvkI3NpSp58ifvQ1lwohgVTviaAEkPQfRYFZQscpAusgBS01Mk
lQesc9r70rRuwFtbAhE2ldPVKKDYkgBlx45/PWDG0wq0NqhtLDU6uo/VCawv0mgl8KHSAvLWKO+6
iYk3EaZHdylI8MaXd+SbIf03QOI2aHGSoRsV9Phk4TAEnGOhd/qyAl/e5fZpCN48qj3sLXiIgDPg
qAmZeDVaysMESt3wWbMHcOsm+PVSqfaUJbYNuHZEqheWALrXY+vqIN9zrN4xU0eEGkw8JJG1BUZe
9pul3vEQ4B3Oyl1gcwUEkQ5CgvW39QEHrO2kG/u4YaEMNTNfQHtaE9zDrAGfr8D2wFXCuagcAHQq
GP6E55aUHRMuS2DPOhURXCq+lUFx2bSmfCWP/o69s1rkYdAijAp3XqbXcmHbSGeAdFFXVV3dhbFy
bWRt4tLvvVGs5lOEQP2sYl2gXw3qPLEKFEAHBfS9fQ85eFhVTkUJNr+vohJei50/1nBXcKqGrpIF
GpaVcWTMPcxT2fNoVPBaX+AS4lA/hE5LBUvKF07aPnqiDSpb5aMWZBdR5NQIC3gUXTtvqxRUTHV/
RBszx4bTpx+LX0gLc65hBfNsA11AmSgrQoD4UO7y1l+PBi1ei3VSInvvpex6zKdgFUrR59jC54G8
GQo42owebuMRglnU0q8Vo1CQK6FyPUnWpmgCtuIMpRnowxbiNdMIgFqpL5C2mftj+oQsao6rZ38x
4P5A0u6fyVpIdagpnmwpA76qO5/6HBdPqURuHBrULg5wOinwl5Exyb6q7GzLal473lanDxKEmBXi
WwCGEvtspzzPkySntl6Fsu9TlS2xWpUVpwxeROP+yzY1SGB/kkdXYYZE1I/1JfG23xNpICuUg3AC
kIVUgf09rpDe6de602sWrbzDhM+x6J2q9FcdmwSbbk8T/PMfmvOO38syXsOQS2R6nn8niyaP+yGL
ZsmnC6s6/I9bERoH33RPQaoPZlnW6WWm4D20rdWWFWlsQwpIM23sVQfQNegTEbMPgMc+TyICKOZf
6yImNOt+7PpgURAsFbJJpYiexgYU0OrWuSwiCw9QUuoCkxVPxB2V6mCpilgMCv9cEtHZdUHjYjp7
UY/NoyQi2HD6R13EdABCoBVRntvh6SDiXnOircRCUMm5Mc/F2hA0ZjdvxHphjdWjlNNJJOe878AE
4h4xrmQWGYnFJugbZUbjdm1ZzXmGdBAtQJYlo+w/9WSlSTMmbsTKpRnNnU9ze+WIRU0Ry5sPuHQB
lQVnW7H4IWy9g/udg3pmYbRZIcNQvcgFbhccNY44IHkDIL2DKp+ksrHXm3SlAfmt9fBUFxjgilLd
ACgYvxv+2lmncnXXguvIBygUmYARAyd2IoAUyMeAMAbQ/VCp9UU1hbcGCOQYBNKcnjygZMO8lLhZ
EM/9Og1CCVKKBPdFav0lmk/Xdaidt4V0Pj3DneVQxW8VCLRR2ukmQsN9ZgiAdC/rl5LRwxYUJwdD
ghcLveE0CqB0RQJiXfrJNihbeWGDvjZrsJ09XVMHXLadwzeQyd0K7B1gDZT2pioydQVYHMdmgN2V
aGwUY2KvYiuo5pEAgJudNywMAQpHFgoA+KiuK7//6IEbT8L20pRbHDWz3sXOsFxVMGcGvMhmPqhz
FYjPbBBAdL2fqEiATU8lamCVKnkrAs1z+7w7lUGyBwLSTsJ4H0nVe7MzLmmZb/yIZpWpRisdNHza
6GtHweMqnsybJirBCfgfobruOflKdEIx4DYEuL4TMHsbvH0WlbBAVIoaVnGL/RCVnrq/kVirXd4K
/VcA97UOBL+EmYGmmoiUKflTSl5KPbTY0ge4iHWspJpxADEFNaDFgnsxCLaAhVEIsVLZMHtD1fUg
FfQNDkexVg27xiuiOYxcFIIqWAhaHN22OFEk4Y3WKAlPIHwFYg0rMhgMdmM1q6wGsGT0QEQHRfVc
LZdPR+Tz9UzCTzIKtfkELQKOMP47WYlVNJSJMKM0jAqJ6YbPfAqIFWT5u3gA98mzdq1rJ9LIfoVU
iAQpI7fqhSZYGmSSC1vPsXGynmRB5Sgs/ama5E8OHA+5T86LcUR/CvIHdobBwhzRSxjT8n3Q1rtE
n9JZOG7sfDrRW4dujiLIJAP6TjbaRZU9Pql19dmX2tM+b66Qat42XRQvsfOaTzBUNAelL0WQVnAd
U2dRGwuXZigtVdM8FVLKKXroBWne2oVl9RlICoWxHEKhKsgxQ2+bJ00rOCyGZCNip9+x6paYTJMG
dfBrGjiXuHXgC8GCfFoLEo5ft+0ymLqTRhB0VJg6ZjDsaHfSaRcknqasE8qMEHtqHWXmFAtIMBgY
mA/XjVHS3RN45QFqcIllyCLLjIqgywkJ29wmFRCRfPDYtDUhPe+h6Cj5156H81HhXDuevtaG0SZJ
dqhSj8l7r4D47Cvl0m/s5K7q6xA/BIxOZUuFmCcC24huLZNzjNn18ZJlVXepS9wPGZDmVg+XXZ+d
sKC/H/UcQpqc0q5T2ytA5SpgOmPewTddBfSG3a7W9JlhAvu1s5PAM3U3LpOzOuiuQkMHGscBwcPo
BM+ECsNxP+G9XXdtmJG9nrL2Hv04iDJF5c1oZgSuGZWS60/Sk6OTtzdBFa6AWV9lY35vasR2mVg2
dWybTGYgbQHCnZ3LpUNtIS/vFDsV1B3YOek4oCiiQk4OsEOZ56zZRpHJWKbJzTJp8vvWoZNY8CBh
R78cwWrOFL5ySopUo3sNR5dmwI8UED9z2oXmhvMBRXMdKn1AxqblBthBvbsJxviqZ090mwj8YGhA
ScGOx8f1a+Rxs9H+aCNBUxHg+UKa+nkMiHmUUD7jaN27vtxDoYzNG6OBNpqNj0ZuXEZ+sR9Q4qLo
Gt2Js+WsB+ONdFZ2pmhYbkNW2rL/Y0BhZWtZUTZNUlSuPqrtIhZgfnw6k009lTeaSuAnmXYrjfpF
EzaPfZksHS+6YbOXT0MTRiL7/6YO/QsACB+cKV5rEkVXK+gGvNIQ/hvhD3hQ461sxDlP0ApAAHVz
1bIewiGX5mmVcxwSeOgxt98rXlouDGESkuEPuCgKbOO6pPU2cjXuTPRb+T47dQke6MOQcdC1Pekk
9P1dhWWPD84Dd9FilZe0dDOruMxjXEjBlPsLTOMeigiMfduEn3SZ0lZUmpe0eD7mugkuPhnWk689
RTLVCq2j56uqmPTYAw41poWpeGPSEZPzkccvouCuhCM2BpPyyay7c5QewwUuu9TUJVbtYKQVElmw
+E0p2smZuo05arlN6EVk7sVpKDDkelOtxknHMUoTFWw5XkfIhblolrPfCT2aUvUyNxfoc6jXj4GP
M0xp+9USmUXZzdOum+fySO0ARtoombegQBSUgDzDTUvpQ1D1NxRTOOyEjpv3CUJBCul9SxvBp0w/
V/XgujGtcoEn+ab129pNZecGKuCln/SOi7QeZahCat0SvpSrgUsbfCmZo3e4kcicCMhIBsBQ3xd+
irIO+zmzxRaC3yyFDipG4b5H4EEqzCdTBmeGGMHcSoUihBM/WULLAbGRh26sTh128tloGQ91Z61K
u61Q11FOvEzLkOfsdHcw41s/TWsX5z/VtVu8WaQUqNq9bHOWcVId0pyUz5Q2OimMCr5jG0XnapiD
LKh4zY4/+RKqgWkffVA4zMyKVnpvpY45U9N8ozv97UDORflpQiKjyLNF2eB4h+gg+oRxycfR0S2x
+0pfAG86tVFRsO1RYMlKOmx9/wR8m7oagL0FVOql3LV3RUfoBpVylfiZsLzXtpoZUo4zomrWxsU1
jEWE/unskl4OrNNVth30KltWpk49snkA8QPaLmxuy4FWCsaCN1OCO9aYfEBcK533NUuqJd+jbM/D
Dw4BUpfVz/OkPSvqapnJGIfIY92wHCKo35jR3iE3DjoT0Ykh209pdTI5VDv9atqoanYXRgi4QI8o
OnRAarI8K2bpC0qezMDpLfRYQ26ytVbyUD2ZASmdlQ+ftJScr4sUNwQwiE/OBtubeRBnO6S47qOm
vdD18iQNsVrygSh5HQRLyrprHDnfD4GyGAyAvl6ZX1MeWBe6A9uP9oscXWKE5CKyAhlQQ0HJSxZh
1Z3hW71pw8JNDLlTT+pIGd3St9T4Kskm827MQxOnAgk0ylViNEU3H4XIn1FILyYm/w/OoF9uUYgG
L541g6/afTW+39dssvVrk0O8epmTmXzI/7M/+vlAX9SKP4wFasW7RzR35mHdVOFDQ2Nk/3xXm8d/
/uOFLieaKd+dap9v7PmufzpOsmMHaR+5gqYjwKdCtdANHKj54VSb5FCQXl6WFMV+h9QxyGHBu+Dn
5Rz9zUz92Vz8/GO+TOrP/+bPP8K3MwF74o/Qkb8yC3zMr5OAHhT9MWh/zvNnFB/y+0lw3pHYqpzj
lZdZep72/+NJOPA8iDbdkc+D9s6xZdDgAvcifn6YCusdnjmyCg/yl5wERL3+k8eByfzueYCHgy6L
qb183YTZd8+Dqr5TLdqmgrvJfP96D4IAFx35IADvhzHlwM56mYM/LgzMATQsuAQKr/ySk6D8UcPn
r6wL3z8IBg+7pqOV8yUcfogG7N2ZJQUFnV90EuSXb+fF+O33vetvbRHmOwsnLgNgx8uTQHx9Fw14
3Fs2HRVbGIT8mk8C5dAjw8F8x3dMzL/ukwcmAasnZGm/7Mm/4Jpw/LrovDPALiqOQMd+9wiIxcDB
LUEzftUV8csqdVwcIDHJJ7TgKh3aGlV0jk2WRJKEXzQO1Jdv55hJYPuXkdpEn+xPtgWQQ1TXSBf1
10n6JZcE9fglgcwYHO/vMyHMPr4LCtZF6tloPQgK8685CUfvkAjW6Y6MzptivjwPP6wM8jtMRA08
oV+u9euti0J+78jNAVkRJEMQ7RPZJz9/zJUU6x3SfbJD9/BXfRKO3xxsDG6ep+HLIYrv+7twwFFH
xo1EoUf58vOLToV2/CKJhAGoSbYC+eWT/nFlYCp0R/xHbvllJ/mr68NfiJ/fSxVuECaPz0UK0FWH
ahl/9gev5/IfX/+mBPF88P7uL0XR4uXiL4UK8e9/fV/DeD4rffPq69np+Upf3v/lI/548e8u9vq5
Xn+5xolgVz0E4/ML45cbfXF9+neC+dPj7tuygSigvJwVv97NjwWX39eFn49OO3z/x8FFkvD6u8PV
nL82eLp7zKvXgb6WfsRKcvSdzwSt5nWcb8YmAo4e290lu46vpH4d65vxWRqOH59Sa/3DV8qss7G/
weBZU+ETlh+UeRWn66MvMd8nv53n1cH5ZxM9evxF8ts8r3h4Xsf6Zv5Zj44ef1mB2Dw0OJvf0YOv
kn2WvY7zzY2zSx099rpN7/PksXkd6uvwylsE7CYt9lW4Sw4M/xYhu6F7emDot4jY0311YM5F3nb0
nJ+GmX9gIVDeIlbPdvGBNUzUIo6+7bNdXe8PzclbBOhZXv/278zfJ/tDM/MWIbrdPbIAv87DN8/5
W4Todgdo7sDYbxGiYuwiP7S6C4/to7/W7T57zB/CQ6uX+hYxut1XD/vH1xv9Ou/i+H38zefc++s4
34z9FmG6zQ/OyVtEKUPD4N2PB+78LSL1fFcceNBFneroCT/fd7sfc0f0yd4iRC+qHUvA611+83W+
RYheJruH/YHcUX2LGL1M2vRQcieE5o+e8/chqWMdPh6YGdHjOnr8691DxZEgaw7speL89wYXyH6b
7QEVH7rAW4QqRrZcoMp21ePBhUx7i6AVF5mHe//Qh3iLqBXjL4mAh7B+OHSNtwhfcY2TfFe2h3Yr
7S1iWFzhrA3r3y7uw7o49DneIpjFVba7Zn9o/LeIZ8bHGXm2q+4PeyO/RVi/XONn7svPAIcjjstf
rvDnvlFHX+Bn1h9HD/4zN8XjB/+pevLRw/9MEPT4wX8icHf04M0Oc7lk1x7Iw/U3Cd2fqZcce/c/
5YAfPfhPiTFHj97iw35gixdNxKN34A8tBaL0UF3OeIv99yM32B46XAnqzdE3/wkDgNdhviaFwl3u
+KHb+wOZsvG/b7WHyrK/Y19+LNa+IrwOve37WrT4i4dkv6v+9T8AAAD//w==</cx:binary>
              </cx:geoCache>
            </cx:geography>
          </cx:layoutPr>
          <cx:valueColors>
            <cx:minColor>
              <a:schemeClr val="accent5">
                <a:lumMod val="20000"/>
                <a:lumOff val="80000"/>
              </a:schemeClr>
            </cx:minColor>
            <cx:maxColor>
              <a:schemeClr val="accent5">
                <a:lumMod val="60000"/>
                <a:lumOff val="40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281149</xdr:colOff>
      <xdr:row>0</xdr:row>
      <xdr:rowOff>22859</xdr:rowOff>
    </xdr:from>
    <xdr:to>
      <xdr:col>28</xdr:col>
      <xdr:colOff>135193</xdr:colOff>
      <xdr:row>43</xdr:row>
      <xdr:rowOff>0</xdr:rowOff>
    </xdr:to>
    <xdr:sp macro="" textlink="">
      <xdr:nvSpPr>
        <xdr:cNvPr id="4" name="Rectangle 3">
          <a:extLst>
            <a:ext uri="{FF2B5EF4-FFF2-40B4-BE49-F238E27FC236}">
              <a16:creationId xmlns:a16="http://schemas.microsoft.com/office/drawing/2014/main" id="{913B4DC7-DA4A-4CCC-14B5-58314A479360}"/>
            </a:ext>
          </a:extLst>
        </xdr:cNvPr>
        <xdr:cNvSpPr/>
      </xdr:nvSpPr>
      <xdr:spPr>
        <a:xfrm>
          <a:off x="2272181" y="22859"/>
          <a:ext cx="15524206" cy="7904399"/>
        </a:xfrm>
        <a:prstGeom prst="rect">
          <a:avLst/>
        </a:prstGeom>
        <a:solidFill>
          <a:schemeClr val="accent3">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0</xdr:row>
      <xdr:rowOff>0</xdr:rowOff>
    </xdr:from>
    <xdr:to>
      <xdr:col>2</xdr:col>
      <xdr:colOff>304800</xdr:colOff>
      <xdr:row>43</xdr:row>
      <xdr:rowOff>128650</xdr:rowOff>
    </xdr:to>
    <xdr:sp macro="" textlink="">
      <xdr:nvSpPr>
        <xdr:cNvPr id="3" name="Rectangle 2">
          <a:extLst>
            <a:ext uri="{FF2B5EF4-FFF2-40B4-BE49-F238E27FC236}">
              <a16:creationId xmlns:a16="http://schemas.microsoft.com/office/drawing/2014/main" id="{F4473DA3-FFEF-2E22-D0D3-A230685BB1B7}"/>
            </a:ext>
          </a:extLst>
        </xdr:cNvPr>
        <xdr:cNvSpPr/>
      </xdr:nvSpPr>
      <xdr:spPr>
        <a:xfrm>
          <a:off x="15240" y="0"/>
          <a:ext cx="2278677" cy="7788234"/>
        </a:xfrm>
        <a:prstGeom prst="rect">
          <a:avLst/>
        </a:prstGeom>
        <a:solidFill>
          <a:schemeClr val="accent1">
            <a:lumMod val="75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228151</xdr:colOff>
      <xdr:row>3</xdr:row>
      <xdr:rowOff>130755</xdr:rowOff>
    </xdr:from>
    <xdr:to>
      <xdr:col>1</xdr:col>
      <xdr:colOff>1633219</xdr:colOff>
      <xdr:row>8</xdr:row>
      <xdr:rowOff>69795</xdr:rowOff>
    </xdr:to>
    <xdr:sp macro="" textlink="pivots!H5">
      <xdr:nvSpPr>
        <xdr:cNvPr id="6" name="TextBox 5">
          <a:extLst>
            <a:ext uri="{FF2B5EF4-FFF2-40B4-BE49-F238E27FC236}">
              <a16:creationId xmlns:a16="http://schemas.microsoft.com/office/drawing/2014/main" id="{ED8F5CED-0F13-2F0B-6C92-01B3A313505D}"/>
            </a:ext>
          </a:extLst>
        </xdr:cNvPr>
        <xdr:cNvSpPr txBox="1"/>
      </xdr:nvSpPr>
      <xdr:spPr>
        <a:xfrm>
          <a:off x="228151" y="668637"/>
          <a:ext cx="1711362" cy="83551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E15F50-51E9-42A7-ADEC-987F775F6D16}"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rPr>
            <a:pPr/>
            <a:t>2,400</a:t>
          </a:fld>
          <a:endParaRPr lang="en-IN" sz="1800" b="1">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mn-lt"/>
          </a:endParaRPr>
        </a:p>
      </xdr:txBody>
    </xdr:sp>
    <xdr:clientData/>
  </xdr:twoCellAnchor>
  <xdr:twoCellAnchor>
    <xdr:from>
      <xdr:col>1</xdr:col>
      <xdr:colOff>21195</xdr:colOff>
      <xdr:row>20</xdr:row>
      <xdr:rowOff>18328</xdr:rowOff>
    </xdr:from>
    <xdr:to>
      <xdr:col>2</xdr:col>
      <xdr:colOff>65527</xdr:colOff>
      <xdr:row>24</xdr:row>
      <xdr:rowOff>143814</xdr:rowOff>
    </xdr:to>
    <xdr:sp macro="" textlink="pivots!I5">
      <xdr:nvSpPr>
        <xdr:cNvPr id="7" name="TextBox 6">
          <a:extLst>
            <a:ext uri="{FF2B5EF4-FFF2-40B4-BE49-F238E27FC236}">
              <a16:creationId xmlns:a16="http://schemas.microsoft.com/office/drawing/2014/main" id="{632DD2F3-2835-4C64-A20C-29F97DA9D91D}"/>
            </a:ext>
          </a:extLst>
        </xdr:cNvPr>
        <xdr:cNvSpPr txBox="1"/>
      </xdr:nvSpPr>
      <xdr:spPr>
        <a:xfrm>
          <a:off x="356334" y="3546106"/>
          <a:ext cx="1914054" cy="831041"/>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1468D6-6145-43AB-A2A4-C19C594E428D}"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rPr>
            <a:pPr marL="0" indent="0"/>
            <a:t>2.3</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endParaRPr>
        </a:p>
      </xdr:txBody>
    </xdr:sp>
    <xdr:clientData/>
  </xdr:twoCellAnchor>
  <xdr:twoCellAnchor>
    <xdr:from>
      <xdr:col>1</xdr:col>
      <xdr:colOff>11504</xdr:colOff>
      <xdr:row>16</xdr:row>
      <xdr:rowOff>7584</xdr:rowOff>
    </xdr:from>
    <xdr:to>
      <xdr:col>2</xdr:col>
      <xdr:colOff>41984</xdr:colOff>
      <xdr:row>20</xdr:row>
      <xdr:rowOff>125918</xdr:rowOff>
    </xdr:to>
    <xdr:sp macro="" textlink="pivots!J5">
      <xdr:nvSpPr>
        <xdr:cNvPr id="8" name="TextBox 7">
          <a:extLst>
            <a:ext uri="{FF2B5EF4-FFF2-40B4-BE49-F238E27FC236}">
              <a16:creationId xmlns:a16="http://schemas.microsoft.com/office/drawing/2014/main" id="{E86BED21-980A-494B-850D-47342BEFC99C}"/>
            </a:ext>
          </a:extLst>
        </xdr:cNvPr>
        <xdr:cNvSpPr txBox="1"/>
      </xdr:nvSpPr>
      <xdr:spPr>
        <a:xfrm>
          <a:off x="317798" y="2876290"/>
          <a:ext cx="1711362" cy="83551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D2DFB3-B824-47B9-9226-8DABF1B4F968}"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rPr>
            <a:pPr marL="0" indent="0"/>
            <a:t>4.0</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endParaRPr>
        </a:p>
      </xdr:txBody>
    </xdr:sp>
    <xdr:clientData/>
  </xdr:twoCellAnchor>
  <xdr:twoCellAnchor>
    <xdr:from>
      <xdr:col>0</xdr:col>
      <xdr:colOff>213209</xdr:colOff>
      <xdr:row>12</xdr:row>
      <xdr:rowOff>2317</xdr:rowOff>
    </xdr:from>
    <xdr:to>
      <xdr:col>1</xdr:col>
      <xdr:colOff>1622909</xdr:colOff>
      <xdr:row>16</xdr:row>
      <xdr:rowOff>120650</xdr:rowOff>
    </xdr:to>
    <xdr:sp macro="" textlink="pivots!K5">
      <xdr:nvSpPr>
        <xdr:cNvPr id="9" name="TextBox 8">
          <a:extLst>
            <a:ext uri="{FF2B5EF4-FFF2-40B4-BE49-F238E27FC236}">
              <a16:creationId xmlns:a16="http://schemas.microsoft.com/office/drawing/2014/main" id="{F2BA691D-D8BC-4254-93C4-851963F47A3F}"/>
            </a:ext>
          </a:extLst>
        </xdr:cNvPr>
        <xdr:cNvSpPr txBox="1"/>
      </xdr:nvSpPr>
      <xdr:spPr>
        <a:xfrm>
          <a:off x="213209" y="2153846"/>
          <a:ext cx="1715994" cy="83551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52B4DD-E468-4646-BF68-575C3E45A1DF}"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rPr>
            <a:pPr marL="0" indent="0"/>
            <a:t>$649.0k</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endParaRPr>
        </a:p>
      </xdr:txBody>
    </xdr:sp>
    <xdr:clientData/>
  </xdr:twoCellAnchor>
  <xdr:twoCellAnchor>
    <xdr:from>
      <xdr:col>0</xdr:col>
      <xdr:colOff>198269</xdr:colOff>
      <xdr:row>7</xdr:row>
      <xdr:rowOff>138990</xdr:rowOff>
    </xdr:from>
    <xdr:to>
      <xdr:col>1</xdr:col>
      <xdr:colOff>1604831</xdr:colOff>
      <xdr:row>12</xdr:row>
      <xdr:rowOff>81616</xdr:rowOff>
    </xdr:to>
    <xdr:sp macro="" textlink="pivots!L5">
      <xdr:nvSpPr>
        <xdr:cNvPr id="11" name="TextBox 10">
          <a:extLst>
            <a:ext uri="{FF2B5EF4-FFF2-40B4-BE49-F238E27FC236}">
              <a16:creationId xmlns:a16="http://schemas.microsoft.com/office/drawing/2014/main" id="{5EFA9518-7E17-4AD2-AAA1-757660F0A0C0}"/>
            </a:ext>
          </a:extLst>
        </xdr:cNvPr>
        <xdr:cNvSpPr txBox="1"/>
      </xdr:nvSpPr>
      <xdr:spPr>
        <a:xfrm>
          <a:off x="198269" y="1394049"/>
          <a:ext cx="1712856" cy="83909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B199412-BF8F-44E7-A546-1E9C16628D08}" type="TxLink">
            <a:rPr lang="en-US"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rPr>
            <a:pPr marL="0" indent="0"/>
            <a:t>11,997</a:t>
          </a:fld>
          <a:endParaRPr lang="en-IN" sz="1800" b="1" i="0" u="none" strike="noStrike">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114300" dist="50800" dir="5400000" algn="ctr" rotWithShape="0">
                <a:srgbClr val="000000"/>
              </a:outerShdw>
            </a:effectLst>
            <a:latin typeface="Aptos Narrow"/>
            <a:ea typeface="+mn-ea"/>
            <a:cs typeface="+mn-cs"/>
          </a:endParaRPr>
        </a:p>
      </xdr:txBody>
    </xdr:sp>
    <xdr:clientData/>
  </xdr:twoCellAnchor>
  <xdr:twoCellAnchor>
    <xdr:from>
      <xdr:col>0</xdr:col>
      <xdr:colOff>228151</xdr:colOff>
      <xdr:row>2</xdr:row>
      <xdr:rowOff>62604</xdr:rowOff>
    </xdr:from>
    <xdr:to>
      <xdr:col>1</xdr:col>
      <xdr:colOff>1561651</xdr:colOff>
      <xdr:row>4</xdr:row>
      <xdr:rowOff>9264</xdr:rowOff>
    </xdr:to>
    <xdr:sp macro="" textlink="">
      <xdr:nvSpPr>
        <xdr:cNvPr id="12" name="TextBox 11">
          <a:extLst>
            <a:ext uri="{FF2B5EF4-FFF2-40B4-BE49-F238E27FC236}">
              <a16:creationId xmlns:a16="http://schemas.microsoft.com/office/drawing/2014/main" id="{4592A442-95CE-9FC5-FA17-09290DC61F68}"/>
            </a:ext>
          </a:extLst>
        </xdr:cNvPr>
        <xdr:cNvSpPr txBox="1"/>
      </xdr:nvSpPr>
      <xdr:spPr>
        <a:xfrm>
          <a:off x="228151" y="421192"/>
          <a:ext cx="1639794" cy="305248"/>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rPr>
            <a:t>🛒</a:t>
          </a:r>
          <a:r>
            <a:rPr lang="en-US" sz="1100" b="1">
              <a:solidFill>
                <a:schemeClr val="bg1"/>
              </a:solidFill>
              <a:effectLst/>
              <a:latin typeface="+mn-lt"/>
              <a:ea typeface="+mn-ea"/>
              <a:cs typeface="+mn-cs"/>
            </a:rPr>
            <a:t>Orders</a:t>
          </a:r>
          <a:endParaRPr lang="en-IN" sz="1100" b="1">
            <a:solidFill>
              <a:schemeClr val="bg1"/>
            </a:solidFill>
          </a:endParaRPr>
        </a:p>
      </xdr:txBody>
    </xdr:sp>
    <xdr:clientData/>
  </xdr:twoCellAnchor>
  <xdr:twoCellAnchor>
    <xdr:from>
      <xdr:col>0</xdr:col>
      <xdr:colOff>228600</xdr:colOff>
      <xdr:row>6</xdr:row>
      <xdr:rowOff>91440</xdr:rowOff>
    </xdr:from>
    <xdr:to>
      <xdr:col>1</xdr:col>
      <xdr:colOff>1562100</xdr:colOff>
      <xdr:row>8</xdr:row>
      <xdr:rowOff>38100</xdr:rowOff>
    </xdr:to>
    <xdr:sp macro="" textlink="">
      <xdr:nvSpPr>
        <xdr:cNvPr id="14" name="TextBox 13">
          <a:extLst>
            <a:ext uri="{FF2B5EF4-FFF2-40B4-BE49-F238E27FC236}">
              <a16:creationId xmlns:a16="http://schemas.microsoft.com/office/drawing/2014/main" id="{698196B6-EA1D-4722-8926-17D1EA1E2E91}"/>
            </a:ext>
          </a:extLst>
        </xdr:cNvPr>
        <xdr:cNvSpPr txBox="1"/>
      </xdr:nvSpPr>
      <xdr:spPr>
        <a:xfrm>
          <a:off x="228600" y="1188720"/>
          <a:ext cx="1638300" cy="31242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rPr>
            <a:t>👗</a:t>
          </a:r>
          <a:r>
            <a:rPr lang="en-US" sz="1100" b="1">
              <a:solidFill>
                <a:schemeClr val="bg1"/>
              </a:solidFill>
              <a:effectLst/>
              <a:latin typeface="+mn-lt"/>
              <a:ea typeface="+mn-ea"/>
              <a:cs typeface="+mn-cs"/>
            </a:rPr>
            <a:t>Quantity</a:t>
          </a:r>
          <a:endParaRPr lang="en-IN" sz="1100" b="1">
            <a:solidFill>
              <a:schemeClr val="bg1"/>
            </a:solidFill>
            <a:effectLst/>
            <a:latin typeface="+mn-lt"/>
            <a:ea typeface="+mn-ea"/>
            <a:cs typeface="+mn-cs"/>
          </a:endParaRPr>
        </a:p>
      </xdr:txBody>
    </xdr:sp>
    <xdr:clientData/>
  </xdr:twoCellAnchor>
  <xdr:twoCellAnchor>
    <xdr:from>
      <xdr:col>0</xdr:col>
      <xdr:colOff>228151</xdr:colOff>
      <xdr:row>10</xdr:row>
      <xdr:rowOff>116055</xdr:rowOff>
    </xdr:from>
    <xdr:to>
      <xdr:col>1</xdr:col>
      <xdr:colOff>1569122</xdr:colOff>
      <xdr:row>12</xdr:row>
      <xdr:rowOff>65620</xdr:rowOff>
    </xdr:to>
    <xdr:sp macro="" textlink="">
      <xdr:nvSpPr>
        <xdr:cNvPr id="15" name="TextBox 14">
          <a:extLst>
            <a:ext uri="{FF2B5EF4-FFF2-40B4-BE49-F238E27FC236}">
              <a16:creationId xmlns:a16="http://schemas.microsoft.com/office/drawing/2014/main" id="{E76360CA-75C3-4FAB-A301-38607E8F84A7}"/>
            </a:ext>
          </a:extLst>
        </xdr:cNvPr>
        <xdr:cNvSpPr txBox="1"/>
      </xdr:nvSpPr>
      <xdr:spPr>
        <a:xfrm>
          <a:off x="228151" y="1879944"/>
          <a:ext cx="1676110" cy="30234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rPr>
            <a:t>💰</a:t>
          </a:r>
          <a:r>
            <a:rPr lang="en-US" sz="1100" b="1">
              <a:solidFill>
                <a:schemeClr val="bg1"/>
              </a:solidFill>
              <a:effectLst/>
              <a:latin typeface="+mn-lt"/>
              <a:ea typeface="+mn-ea"/>
              <a:cs typeface="+mn-cs"/>
            </a:rPr>
            <a:t>Amount</a:t>
          </a:r>
          <a:endParaRPr lang="en-IN" sz="1100" b="1">
            <a:solidFill>
              <a:schemeClr val="bg1"/>
            </a:solidFill>
            <a:effectLst/>
            <a:latin typeface="+mn-lt"/>
            <a:ea typeface="+mn-ea"/>
            <a:cs typeface="+mn-cs"/>
          </a:endParaRPr>
        </a:p>
      </xdr:txBody>
    </xdr:sp>
    <xdr:clientData/>
  </xdr:twoCellAnchor>
  <xdr:twoCellAnchor>
    <xdr:from>
      <xdr:col>0</xdr:col>
      <xdr:colOff>228151</xdr:colOff>
      <xdr:row>14</xdr:row>
      <xdr:rowOff>85259</xdr:rowOff>
    </xdr:from>
    <xdr:to>
      <xdr:col>1</xdr:col>
      <xdr:colOff>1561651</xdr:colOff>
      <xdr:row>16</xdr:row>
      <xdr:rowOff>35505</xdr:rowOff>
    </xdr:to>
    <xdr:sp macro="" textlink="">
      <xdr:nvSpPr>
        <xdr:cNvPr id="16" name="TextBox 15">
          <a:extLst>
            <a:ext uri="{FF2B5EF4-FFF2-40B4-BE49-F238E27FC236}">
              <a16:creationId xmlns:a16="http://schemas.microsoft.com/office/drawing/2014/main" id="{E4992C75-F774-48B4-BEEE-E24D7198FD23}"/>
            </a:ext>
          </a:extLst>
        </xdr:cNvPr>
        <xdr:cNvSpPr txBox="1"/>
      </xdr:nvSpPr>
      <xdr:spPr>
        <a:xfrm>
          <a:off x="228151" y="2595377"/>
          <a:ext cx="1639794" cy="30883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rPr>
            <a:t>⭐Avg.</a:t>
          </a:r>
          <a:r>
            <a:rPr lang="en-US" sz="1100" b="1" baseline="0">
              <a:solidFill>
                <a:schemeClr val="bg2"/>
              </a:solidFill>
            </a:rPr>
            <a:t> Rating</a:t>
          </a:r>
          <a:endParaRPr lang="en-IN" sz="1100" b="1">
            <a:solidFill>
              <a:schemeClr val="bg2"/>
            </a:solidFill>
          </a:endParaRPr>
        </a:p>
      </xdr:txBody>
    </xdr:sp>
    <xdr:clientData/>
  </xdr:twoCellAnchor>
  <xdr:twoCellAnchor>
    <xdr:from>
      <xdr:col>0</xdr:col>
      <xdr:colOff>220045</xdr:colOff>
      <xdr:row>18</xdr:row>
      <xdr:rowOff>91639</xdr:rowOff>
    </xdr:from>
    <xdr:to>
      <xdr:col>1</xdr:col>
      <xdr:colOff>1548913</xdr:colOff>
      <xdr:row>20</xdr:row>
      <xdr:rowOff>38299</xdr:rowOff>
    </xdr:to>
    <xdr:sp macro="" textlink="">
      <xdr:nvSpPr>
        <xdr:cNvPr id="17" name="TextBox 16">
          <a:extLst>
            <a:ext uri="{FF2B5EF4-FFF2-40B4-BE49-F238E27FC236}">
              <a16:creationId xmlns:a16="http://schemas.microsoft.com/office/drawing/2014/main" id="{1B214844-D181-4566-8CE8-CFBBD74E6EF0}"/>
            </a:ext>
          </a:extLst>
        </xdr:cNvPr>
        <xdr:cNvSpPr txBox="1"/>
      </xdr:nvSpPr>
      <xdr:spPr>
        <a:xfrm>
          <a:off x="220045" y="3447682"/>
          <a:ext cx="1636911" cy="319553"/>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2"/>
              </a:solidFill>
            </a:rPr>
            <a:t>🗓️Days to deliver</a:t>
          </a:r>
          <a:endParaRPr lang="en-IN" sz="1100" b="1">
            <a:solidFill>
              <a:schemeClr val="bg2"/>
            </a:solidFill>
          </a:endParaRPr>
        </a:p>
      </xdr:txBody>
    </xdr:sp>
    <xdr:clientData/>
  </xdr:twoCellAnchor>
  <xdr:twoCellAnchor>
    <xdr:from>
      <xdr:col>3</xdr:col>
      <xdr:colOff>278535</xdr:colOff>
      <xdr:row>1</xdr:row>
      <xdr:rowOff>31750</xdr:rowOff>
    </xdr:from>
    <xdr:to>
      <xdr:col>10</xdr:col>
      <xdr:colOff>285750</xdr:colOff>
      <xdr:row>13</xdr:row>
      <xdr:rowOff>170234</xdr:rowOff>
    </xdr:to>
    <xdr:graphicFrame macro="">
      <xdr:nvGraphicFramePr>
        <xdr:cNvPr id="2" name="Chart 1">
          <a:extLst>
            <a:ext uri="{FF2B5EF4-FFF2-40B4-BE49-F238E27FC236}">
              <a16:creationId xmlns:a16="http://schemas.microsoft.com/office/drawing/2014/main" id="{8F7EB27E-C683-4F64-AF93-946F9025D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529168</xdr:colOff>
      <xdr:row>1</xdr:row>
      <xdr:rowOff>52916</xdr:rowOff>
    </xdr:from>
    <xdr:to>
      <xdr:col>18</xdr:col>
      <xdr:colOff>137583</xdr:colOff>
      <xdr:row>14</xdr:row>
      <xdr:rowOff>10584</xdr:rowOff>
    </xdr:to>
    <xdr:sp macro="" textlink="">
      <xdr:nvSpPr>
        <xdr:cNvPr id="23" name="Rectangle 22">
          <a:extLst>
            <a:ext uri="{FF2B5EF4-FFF2-40B4-BE49-F238E27FC236}">
              <a16:creationId xmlns:a16="http://schemas.microsoft.com/office/drawing/2014/main" id="{D17C0A12-36FD-75C9-512D-206EAE9BD464}"/>
            </a:ext>
          </a:extLst>
        </xdr:cNvPr>
        <xdr:cNvSpPr/>
      </xdr:nvSpPr>
      <xdr:spPr>
        <a:xfrm>
          <a:off x="7133168" y="232833"/>
          <a:ext cx="4519082" cy="229658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276849</xdr:colOff>
      <xdr:row>3</xdr:row>
      <xdr:rowOff>161902</xdr:rowOff>
    </xdr:from>
    <xdr:to>
      <xdr:col>17</xdr:col>
      <xdr:colOff>268743</xdr:colOff>
      <xdr:row>13</xdr:row>
      <xdr:rowOff>159727</xdr:rowOff>
    </xdr:to>
    <xdr:pic>
      <xdr:nvPicPr>
        <xdr:cNvPr id="22" name="Picture 21">
          <a:extLst>
            <a:ext uri="{FF2B5EF4-FFF2-40B4-BE49-F238E27FC236}">
              <a16:creationId xmlns:a16="http://schemas.microsoft.com/office/drawing/2014/main" id="{D6EE80DC-6A6C-8D48-ADFC-0F64C7EDB0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4682" y="701652"/>
          <a:ext cx="3674894" cy="1796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428280</xdr:colOff>
      <xdr:row>1</xdr:row>
      <xdr:rowOff>42333</xdr:rowOff>
    </xdr:from>
    <xdr:to>
      <xdr:col>24</xdr:col>
      <xdr:colOff>423333</xdr:colOff>
      <xdr:row>14</xdr:row>
      <xdr:rowOff>10584</xdr:rowOff>
    </xdr:to>
    <xdr:graphicFrame macro="">
      <xdr:nvGraphicFramePr>
        <xdr:cNvPr id="5" name="Chart 4">
          <a:extLst>
            <a:ext uri="{FF2B5EF4-FFF2-40B4-BE49-F238E27FC236}">
              <a16:creationId xmlns:a16="http://schemas.microsoft.com/office/drawing/2014/main" id="{4A9262DA-F40E-452C-A42E-7A9296DE8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267194</xdr:colOff>
      <xdr:row>15</xdr:row>
      <xdr:rowOff>19791</xdr:rowOff>
    </xdr:from>
    <xdr:to>
      <xdr:col>10</xdr:col>
      <xdr:colOff>336468</xdr:colOff>
      <xdr:row>42</xdr:row>
      <xdr:rowOff>52917</xdr:rowOff>
    </xdr:to>
    <xdr:graphicFrame macro="">
      <xdr:nvGraphicFramePr>
        <xdr:cNvPr id="10" name="Chart 9">
          <a:extLst>
            <a:ext uri="{FF2B5EF4-FFF2-40B4-BE49-F238E27FC236}">
              <a16:creationId xmlns:a16="http://schemas.microsoft.com/office/drawing/2014/main" id="{E09B152D-8607-45F8-A3F5-52F907DD6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186262</xdr:colOff>
      <xdr:row>31</xdr:row>
      <xdr:rowOff>96518</xdr:rowOff>
    </xdr:from>
    <xdr:to>
      <xdr:col>8</xdr:col>
      <xdr:colOff>356524</xdr:colOff>
      <xdr:row>41</xdr:row>
      <xdr:rowOff>76724</xdr:rowOff>
    </xdr:to>
    <xdr:graphicFrame macro="">
      <xdr:nvGraphicFramePr>
        <xdr:cNvPr id="13" name="Chart 12">
          <a:extLst>
            <a:ext uri="{FF2B5EF4-FFF2-40B4-BE49-F238E27FC236}">
              <a16:creationId xmlns:a16="http://schemas.microsoft.com/office/drawing/2014/main" id="{7990A27C-19D6-4BE4-9A56-0D3DB556D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433916</xdr:colOff>
      <xdr:row>15</xdr:row>
      <xdr:rowOff>105833</xdr:rowOff>
    </xdr:from>
    <xdr:to>
      <xdr:col>24</xdr:col>
      <xdr:colOff>423333</xdr:colOff>
      <xdr:row>27</xdr:row>
      <xdr:rowOff>84667</xdr:rowOff>
    </xdr:to>
    <xdr:graphicFrame macro="">
      <xdr:nvGraphicFramePr>
        <xdr:cNvPr id="21" name="Chart 20">
          <a:extLst>
            <a:ext uri="{FF2B5EF4-FFF2-40B4-BE49-F238E27FC236}">
              <a16:creationId xmlns:a16="http://schemas.microsoft.com/office/drawing/2014/main" id="{F319A93B-A013-4A04-A19D-460FB0BCA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403369</xdr:colOff>
      <xdr:row>27</xdr:row>
      <xdr:rowOff>158750</xdr:rowOff>
    </xdr:from>
    <xdr:to>
      <xdr:col>24</xdr:col>
      <xdr:colOff>433916</xdr:colOff>
      <xdr:row>42</xdr:row>
      <xdr:rowOff>79940</xdr:rowOff>
    </xdr:to>
    <xdr:graphicFrame macro="">
      <xdr:nvGraphicFramePr>
        <xdr:cNvPr id="24" name="Chart 23">
          <a:extLst>
            <a:ext uri="{FF2B5EF4-FFF2-40B4-BE49-F238E27FC236}">
              <a16:creationId xmlns:a16="http://schemas.microsoft.com/office/drawing/2014/main" id="{944468FC-CD6F-4B96-B556-588D2DBE9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132471</xdr:colOff>
      <xdr:row>22</xdr:row>
      <xdr:rowOff>29309</xdr:rowOff>
    </xdr:from>
    <xdr:to>
      <xdr:col>1</xdr:col>
      <xdr:colOff>1318847</xdr:colOff>
      <xdr:row>31</xdr:row>
      <xdr:rowOff>78154</xdr:rowOff>
    </xdr:to>
    <mc:AlternateContent xmlns:mc="http://schemas.openxmlformats.org/markup-compatibility/2006" xmlns:a14="http://schemas.microsoft.com/office/drawing/2010/main">
      <mc:Choice Requires="a14">
        <xdr:graphicFrame macro="">
          <xdr:nvGraphicFramePr>
            <xdr:cNvPr id="25" name="Gender Value">
              <a:extLst>
                <a:ext uri="{FF2B5EF4-FFF2-40B4-BE49-F238E27FC236}">
                  <a16:creationId xmlns:a16="http://schemas.microsoft.com/office/drawing/2014/main" id="{B8EAD86B-1894-4A28-8CD9-439305578AB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32471" y="3987476"/>
              <a:ext cx="1493293" cy="1668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152009</xdr:colOff>
      <xdr:row>32</xdr:row>
      <xdr:rowOff>48847</xdr:rowOff>
    </xdr:from>
    <xdr:to>
      <xdr:col>1</xdr:col>
      <xdr:colOff>1348154</xdr:colOff>
      <xdr:row>42</xdr:row>
      <xdr:rowOff>68385</xdr:rowOff>
    </xdr:to>
    <mc:AlternateContent xmlns:mc="http://schemas.openxmlformats.org/markup-compatibility/2006" xmlns:a14="http://schemas.microsoft.com/office/drawing/2010/main">
      <mc:Choice Requires="a14">
        <xdr:graphicFrame macro="">
          <xdr:nvGraphicFramePr>
            <xdr:cNvPr id="26" name="Order Mode">
              <a:extLst>
                <a:ext uri="{FF2B5EF4-FFF2-40B4-BE49-F238E27FC236}">
                  <a16:creationId xmlns:a16="http://schemas.microsoft.com/office/drawing/2014/main" id="{AE0E94E3-ABAB-4CB7-9481-9EE6F34281CF}"/>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52009" y="5806180"/>
              <a:ext cx="1503062" cy="1818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52916</xdr:colOff>
      <xdr:row>1</xdr:row>
      <xdr:rowOff>137583</xdr:rowOff>
    </xdr:from>
    <xdr:to>
      <xdr:col>17</xdr:col>
      <xdr:colOff>211667</xdr:colOff>
      <xdr:row>3</xdr:row>
      <xdr:rowOff>95250</xdr:rowOff>
    </xdr:to>
    <xdr:sp macro="" textlink="">
      <xdr:nvSpPr>
        <xdr:cNvPr id="27" name="TextBox 26">
          <a:extLst>
            <a:ext uri="{FF2B5EF4-FFF2-40B4-BE49-F238E27FC236}">
              <a16:creationId xmlns:a16="http://schemas.microsoft.com/office/drawing/2014/main" id="{67BFF81A-999A-76DE-B9B1-8676F70E1E62}"/>
            </a:ext>
          </a:extLst>
        </xdr:cNvPr>
        <xdr:cNvSpPr txBox="1"/>
      </xdr:nvSpPr>
      <xdr:spPr>
        <a:xfrm>
          <a:off x="7884583" y="317500"/>
          <a:ext cx="3227917"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How</a:t>
          </a:r>
          <a:r>
            <a:rPr lang="en-IN" sz="1400" b="1" baseline="0"/>
            <a:t> they like to buy?</a:t>
          </a:r>
          <a:endParaRPr lang="en-IN" sz="1400" b="1"/>
        </a:p>
      </xdr:txBody>
    </xdr:sp>
    <xdr:clientData/>
  </xdr:twoCellAnchor>
  <xdr:twoCellAnchor>
    <xdr:from>
      <xdr:col>10</xdr:col>
      <xdr:colOff>560917</xdr:colOff>
      <xdr:row>14</xdr:row>
      <xdr:rowOff>127000</xdr:rowOff>
    </xdr:from>
    <xdr:to>
      <xdr:col>18</xdr:col>
      <xdr:colOff>169333</xdr:colOff>
      <xdr:row>42</xdr:row>
      <xdr:rowOff>52917</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496AE356-3337-46C9-A4BF-25E3D678E3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761817" y="2616200"/>
              <a:ext cx="4891616" cy="49043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127000</xdr:colOff>
      <xdr:row>21</xdr:row>
      <xdr:rowOff>63499</xdr:rowOff>
    </xdr:from>
    <xdr:to>
      <xdr:col>17</xdr:col>
      <xdr:colOff>582083</xdr:colOff>
      <xdr:row>29</xdr:row>
      <xdr:rowOff>137583</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A105E961-EA01-42DD-B360-928CBA2A5D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1290300" y="3797299"/>
              <a:ext cx="1115483" cy="14964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7.505252893519" createdVersion="8" refreshedVersion="8" minRefreshableVersion="3" recordCount="2400" xr:uid="{22374220-8E73-4AB1-B032-4257B8D11BAC}">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059345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83F92A-2C14-4058-945B-00764397C6E8}" name="trends"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numFmtId="164"/>
    <dataField name="Sum of Quantity"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C2CC0-A507-461E-8FC3-ACF6401EAF8B}" name="summary"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Days to Deliver" fld="12" subtotal="average" baseField="0" baseItem="0"/>
    <dataField name="Average of Rating C" fld="9" subtotal="average" baseField="0" baseItem="0"/>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98E84-9409-455D-B47D-3533D626ED7D}" name="order qty"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4">
  <location ref="A27:B3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8AB84F-4B37-4348-89AC-030F2EE3448B}" name="county" cacheId="0" applyNumberFormats="0" applyBorderFormats="0" applyFontFormats="0" applyPatternFormats="0" applyAlignmentFormats="0" applyWidthHeightFormats="1" dataCaption="Values" updatedVersion="7" minRefreshableVersion="3" useAutoFormatting="1" rowGrandTotals="0" colGrandTotals="0" itemPrintTitles="1" createdVersion="8" indent="0" compact="0" compactData="0" multipleFieldFilters="0">
  <location ref="A68:D126"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 Amount" fld="4" baseField="0" baseItem="0"/>
    <dataField name="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85828C-8000-47DA-B165-2BBF4AF8E19B}" name="gender"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6">
  <location ref="H40:I45"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6" format="0" series="1">
      <pivotArea type="data" outline="0" fieldPosition="0">
        <references count="2">
          <reference field="4294967294" count="1" selected="0">
            <x v="0"/>
          </reference>
          <reference field="14" count="1" selected="0">
            <x v="0"/>
          </reference>
        </references>
      </pivotArea>
    </chartFormat>
    <chartFormat chart="6" format="1" series="1">
      <pivotArea type="data" outline="0" fieldPosition="0">
        <references count="2">
          <reference field="4294967294" count="1" selected="0">
            <x v="0"/>
          </reference>
          <reference field="14" count="1" selected="0">
            <x v="1"/>
          </reference>
        </references>
      </pivotArea>
    </chartFormat>
    <chartFormat chart="6" format="2" series="1">
      <pivotArea type="data" outline="0" fieldPosition="0">
        <references count="2">
          <reference field="4294967294" count="1" selected="0">
            <x v="0"/>
          </reference>
          <reference field="14" count="1" selected="0">
            <x v="2"/>
          </reference>
        </references>
      </pivotArea>
    </chartFormat>
    <chartFormat chart="6" format="3" series="1">
      <pivotArea type="data" outline="0" fieldPosition="0">
        <references count="2">
          <reference field="4294967294" count="1" selected="0">
            <x v="0"/>
          </reference>
          <reference field="14" count="1" selected="0">
            <x v="3"/>
          </reference>
        </references>
      </pivotArea>
    </chartFormat>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4" count="1" selected="0">
            <x v="0"/>
          </reference>
        </references>
      </pivotArea>
    </chartFormat>
    <chartFormat chart="15" format="8">
      <pivotArea type="data" outline="0" fieldPosition="0">
        <references count="2">
          <reference field="4294967294" count="1" selected="0">
            <x v="0"/>
          </reference>
          <reference field="14" count="1" selected="0">
            <x v="1"/>
          </reference>
        </references>
      </pivotArea>
    </chartFormat>
    <chartFormat chart="15" format="9">
      <pivotArea type="data" outline="0" fieldPosition="0">
        <references count="2">
          <reference field="4294967294" count="1" selected="0">
            <x v="0"/>
          </reference>
          <reference field="14" count="1" selected="0">
            <x v="2"/>
          </reference>
        </references>
      </pivotArea>
    </chartFormat>
    <chartFormat chart="1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DC4358-EE68-4095-A13A-683A3DE7D765}" name="product"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9">
  <location ref="A40:F62"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8" format="8" series="1">
      <pivotArea type="data" outline="0" fieldPosition="0">
        <references count="2">
          <reference field="4294967294" count="1" selected="0">
            <x v="0"/>
          </reference>
          <reference field="14" count="1" selected="0">
            <x v="0"/>
          </reference>
        </references>
      </pivotArea>
    </chartFormat>
    <chartFormat chart="8" format="9" series="1">
      <pivotArea type="data" outline="0" fieldPosition="0">
        <references count="2">
          <reference field="4294967294" count="1" selected="0">
            <x v="0"/>
          </reference>
          <reference field="14" count="1" selected="0">
            <x v="1"/>
          </reference>
        </references>
      </pivotArea>
    </chartFormat>
    <chartFormat chart="8" format="10" series="1">
      <pivotArea type="data" outline="0" fieldPosition="0">
        <references count="2">
          <reference field="4294967294" count="1" selected="0">
            <x v="0"/>
          </reference>
          <reference field="14" count="1" selected="0">
            <x v="2"/>
          </reference>
        </references>
      </pivotArea>
    </chartFormat>
    <chartFormat chart="8"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D5041E-B195-45F6-986D-38663A352D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ECEC24-6244-4194-83CF-EED6C1991433}" name="duration"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535BDC-9E29-467A-9F70-5D6F4729565C}" name="customer satisfaction"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3">
  <location ref="A25:G30"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2" format="13" series="1">
      <pivotArea type="data" outline="0" fieldPosition="0">
        <references count="2">
          <reference field="4294967294" count="1" selected="0">
            <x v="0"/>
          </reference>
          <reference field="9" count="1" selected="0">
            <x v="0"/>
          </reference>
        </references>
      </pivotArea>
    </chartFormat>
    <chartFormat chart="12" format="14" series="1">
      <pivotArea type="data" outline="0" fieldPosition="0">
        <references count="2">
          <reference field="4294967294" count="1" selected="0">
            <x v="0"/>
          </reference>
          <reference field="9" count="1" selected="0">
            <x v="1"/>
          </reference>
        </references>
      </pivotArea>
    </chartFormat>
    <chartFormat chart="12" format="15" series="1">
      <pivotArea type="data" outline="0" fieldPosition="0">
        <references count="2">
          <reference field="4294967294" count="1" selected="0">
            <x v="0"/>
          </reference>
          <reference field="9" count="1" selected="0">
            <x v="2"/>
          </reference>
        </references>
      </pivotArea>
    </chartFormat>
    <chartFormat chart="12" format="16" series="1">
      <pivotArea type="data" outline="0" fieldPosition="0">
        <references count="2">
          <reference field="4294967294" count="1" selected="0">
            <x v="0"/>
          </reference>
          <reference field="9" count="1" selected="0">
            <x v="3"/>
          </reference>
        </references>
      </pivotArea>
    </chartFormat>
    <chartFormat chart="12"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286E870-E250-46C6-BF95-DA98831F586A}" sourceName="Gender Value">
  <pivotTables>
    <pivotTable tabId="9" name="customer satisfaction"/>
    <pivotTable tabId="5" name="county"/>
    <pivotTable tabId="5" name="trends"/>
    <pivotTable tabId="9" name="duration"/>
    <pivotTable tabId="5" name="summary"/>
    <pivotTable tabId="5" name="order qty"/>
  </pivotTables>
  <data>
    <tabular pivotCacheId="105934588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1B7034A-880F-4F4B-AEDE-65C1926D9CFF}" sourceName="Order Mode">
  <pivotTables>
    <pivotTable tabId="9" name="customer satisfaction"/>
    <pivotTable tabId="5" name="county"/>
    <pivotTable tabId="5" name="gender"/>
    <pivotTable tabId="5" name="product"/>
    <pivotTable tabId="5" name="summary"/>
    <pivotTable tabId="9" name="duration"/>
    <pivotTable tabId="5" name="order qty"/>
    <pivotTable tabId="5" name="trends"/>
  </pivotTables>
  <data>
    <tabular pivotCacheId="1059345888">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7CE911C0-3D4C-46B9-8083-C8D5752164C9}" cache="Slicer_Gender_Value" caption="Gender Value" rowHeight="247650"/>
  <slicer name="Order Mode" xr10:uid="{25F7B645-8816-4F83-80A8-14DDEB1546AA}" cache="Slicer_Order_Mode" caption="Order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EDDA8-BEEA-4018-BC55-7986DF5A787A}">
  <dimension ref="A3:L191"/>
  <sheetViews>
    <sheetView topLeftCell="A120" workbookViewId="0">
      <selection activeCell="I155" sqref="I155"/>
    </sheetView>
  </sheetViews>
  <sheetFormatPr defaultRowHeight="14"/>
  <cols>
    <col min="1" max="1" width="12.9140625" bestFit="1" customWidth="1"/>
    <col min="2" max="2" width="14.08203125" bestFit="1" customWidth="1"/>
    <col min="3" max="3" width="14.5" bestFit="1" customWidth="1"/>
    <col min="4" max="4" width="14.08203125" bestFit="1" customWidth="1"/>
    <col min="5" max="5" width="14.5" bestFit="1" customWidth="1"/>
    <col min="6" max="6" width="10.83203125" bestFit="1" customWidth="1"/>
    <col min="7" max="7" width="14.25" bestFit="1" customWidth="1"/>
    <col min="8" max="8" width="12.9140625" bestFit="1" customWidth="1"/>
    <col min="9" max="9" width="14.5" bestFit="1" customWidth="1"/>
    <col min="10" max="10" width="5" bestFit="1" customWidth="1"/>
    <col min="11" max="11" width="5.6640625" bestFit="1" customWidth="1"/>
    <col min="12" max="12" width="8.58203125" bestFit="1" customWidth="1"/>
    <col min="13" max="13" width="10.58203125" bestFit="1" customWidth="1"/>
  </cols>
  <sheetData>
    <row r="3" spans="1:12">
      <c r="A3" t="s">
        <v>2518</v>
      </c>
      <c r="B3" t="s">
        <v>2522</v>
      </c>
      <c r="C3" t="s">
        <v>2521</v>
      </c>
      <c r="D3" t="s">
        <v>2520</v>
      </c>
      <c r="E3" t="s">
        <v>2519</v>
      </c>
      <c r="H3" t="s">
        <v>2523</v>
      </c>
    </row>
    <row r="4" spans="1:12">
      <c r="A4" s="5">
        <v>2400</v>
      </c>
      <c r="B4" s="5">
        <v>2.3424999999999998</v>
      </c>
      <c r="C4" s="5">
        <v>3.9620833333333332</v>
      </c>
      <c r="D4" s="5">
        <v>649019.80000000144</v>
      </c>
      <c r="E4" s="5">
        <v>11997</v>
      </c>
      <c r="H4" t="s">
        <v>2524</v>
      </c>
      <c r="I4" t="s">
        <v>2527</v>
      </c>
      <c r="J4" t="s">
        <v>2526</v>
      </c>
      <c r="K4" t="s">
        <v>2525</v>
      </c>
      <c r="L4" t="s">
        <v>2528</v>
      </c>
    </row>
    <row r="5" spans="1:12">
      <c r="H5" t="str">
        <f>TEXT(A4,"#,##")</f>
        <v>2,400</v>
      </c>
      <c r="I5" t="str">
        <f>TEXT(B4,"0.0")</f>
        <v>2.3</v>
      </c>
      <c r="J5" t="str">
        <f>TEXT(C4,"0.0")</f>
        <v>4.0</v>
      </c>
      <c r="K5" t="str">
        <f>TEXT(D4,"$#,##,.0k")</f>
        <v>$649.0k</v>
      </c>
      <c r="L5" t="str">
        <f t="shared" ref="L5" si="0">TEXT(E4,"#,##")</f>
        <v>11,997</v>
      </c>
    </row>
    <row r="7" spans="1:12">
      <c r="A7" t="s">
        <v>2529</v>
      </c>
    </row>
    <row r="9" spans="1:12">
      <c r="A9" s="6" t="s">
        <v>2530</v>
      </c>
      <c r="B9" t="s">
        <v>2520</v>
      </c>
      <c r="C9" t="s">
        <v>2519</v>
      </c>
    </row>
    <row r="10" spans="1:12">
      <c r="A10" s="7">
        <v>1</v>
      </c>
      <c r="B10" s="8">
        <v>32413.300000000003</v>
      </c>
      <c r="C10" s="5">
        <v>546</v>
      </c>
    </row>
    <row r="11" spans="1:12">
      <c r="A11" s="7">
        <v>2</v>
      </c>
      <c r="B11" s="8">
        <v>49562.999999999993</v>
      </c>
      <c r="C11" s="5">
        <v>905</v>
      </c>
    </row>
    <row r="12" spans="1:12">
      <c r="A12" s="7">
        <v>3</v>
      </c>
      <c r="B12" s="8">
        <v>41700.400000000016</v>
      </c>
      <c r="C12" s="5">
        <v>796</v>
      </c>
    </row>
    <row r="13" spans="1:12">
      <c r="A13" s="7">
        <v>4</v>
      </c>
      <c r="B13" s="8">
        <v>46782.599999999984</v>
      </c>
      <c r="C13" s="5">
        <v>913</v>
      </c>
    </row>
    <row r="14" spans="1:12">
      <c r="A14" s="7">
        <v>5</v>
      </c>
      <c r="B14" s="8">
        <v>42676.100000000006</v>
      </c>
      <c r="C14" s="5">
        <v>844</v>
      </c>
    </row>
    <row r="15" spans="1:12">
      <c r="A15" s="7">
        <v>6</v>
      </c>
      <c r="B15" s="8">
        <v>62910.7</v>
      </c>
      <c r="C15" s="5">
        <v>1202</v>
      </c>
    </row>
    <row r="16" spans="1:12">
      <c r="A16" s="7">
        <v>7</v>
      </c>
      <c r="B16" s="8">
        <v>50332.200000000004</v>
      </c>
      <c r="C16" s="5">
        <v>935</v>
      </c>
    </row>
    <row r="17" spans="1:3">
      <c r="A17" s="7">
        <v>8</v>
      </c>
      <c r="B17" s="8">
        <v>58760.599999999977</v>
      </c>
      <c r="C17" s="5">
        <v>1128</v>
      </c>
    </row>
    <row r="18" spans="1:3">
      <c r="A18" s="7">
        <v>9</v>
      </c>
      <c r="B18" s="8">
        <v>52017.299999999996</v>
      </c>
      <c r="C18" s="5">
        <v>1007</v>
      </c>
    </row>
    <row r="19" spans="1:3">
      <c r="A19" s="7">
        <v>10</v>
      </c>
      <c r="B19" s="8">
        <v>64915.700000000033</v>
      </c>
      <c r="C19" s="5">
        <v>1128</v>
      </c>
    </row>
    <row r="20" spans="1:3">
      <c r="A20" s="7">
        <v>11</v>
      </c>
      <c r="B20" s="8">
        <v>45943.80000000001</v>
      </c>
      <c r="C20" s="5">
        <v>861</v>
      </c>
    </row>
    <row r="21" spans="1:3">
      <c r="A21" s="7">
        <v>12</v>
      </c>
      <c r="B21" s="8">
        <v>55077.900000000031</v>
      </c>
      <c r="C21" s="5">
        <v>944</v>
      </c>
    </row>
    <row r="22" spans="1:3">
      <c r="A22" s="7">
        <v>13</v>
      </c>
      <c r="B22" s="8">
        <v>45926.19999999999</v>
      </c>
      <c r="C22" s="5">
        <v>788</v>
      </c>
    </row>
    <row r="23" spans="1:3">
      <c r="A23" s="7" t="s">
        <v>2531</v>
      </c>
      <c r="B23" s="8">
        <v>649019.79999999993</v>
      </c>
      <c r="C23" s="5">
        <v>11997</v>
      </c>
    </row>
    <row r="25" spans="1:3">
      <c r="A25" t="s">
        <v>2538</v>
      </c>
    </row>
    <row r="27" spans="1:3">
      <c r="A27" s="6" t="s">
        <v>2530</v>
      </c>
      <c r="B27" t="s">
        <v>2518</v>
      </c>
    </row>
    <row r="28" spans="1:3">
      <c r="A28" s="7">
        <v>1</v>
      </c>
      <c r="B28" s="5">
        <v>397</v>
      </c>
    </row>
    <row r="29" spans="1:3">
      <c r="A29" s="7">
        <v>2</v>
      </c>
      <c r="B29" s="5">
        <v>540</v>
      </c>
    </row>
    <row r="30" spans="1:3">
      <c r="A30" s="7">
        <v>3</v>
      </c>
      <c r="B30" s="5">
        <v>375</v>
      </c>
    </row>
    <row r="31" spans="1:3">
      <c r="A31" s="7">
        <v>4</v>
      </c>
      <c r="B31" s="5">
        <v>246</v>
      </c>
    </row>
    <row r="32" spans="1:3">
      <c r="A32" s="7">
        <v>5</v>
      </c>
      <c r="B32" s="5">
        <v>195</v>
      </c>
    </row>
    <row r="33" spans="1:9">
      <c r="A33" s="7" t="s">
        <v>2539</v>
      </c>
      <c r="B33" s="5">
        <v>414</v>
      </c>
    </row>
    <row r="34" spans="1:9">
      <c r="A34" s="7" t="s">
        <v>2540</v>
      </c>
      <c r="B34" s="5">
        <v>233</v>
      </c>
      <c r="G34" t="s">
        <v>2550</v>
      </c>
    </row>
    <row r="35" spans="1:9">
      <c r="A35" s="7" t="s">
        <v>2531</v>
      </c>
      <c r="B35" s="5">
        <v>2400</v>
      </c>
    </row>
    <row r="38" spans="1:9">
      <c r="A38" s="7" t="s">
        <v>2541</v>
      </c>
    </row>
    <row r="40" spans="1:9">
      <c r="A40" s="6" t="s">
        <v>2519</v>
      </c>
      <c r="B40" s="6" t="s">
        <v>2532</v>
      </c>
      <c r="H40" s="6" t="s">
        <v>2530</v>
      </c>
      <c r="I40" t="s">
        <v>2519</v>
      </c>
    </row>
    <row r="41" spans="1:9">
      <c r="A41" s="6" t="s">
        <v>2530</v>
      </c>
      <c r="B41" t="s">
        <v>2533</v>
      </c>
      <c r="C41" t="s">
        <v>2534</v>
      </c>
      <c r="D41" t="s">
        <v>2535</v>
      </c>
      <c r="E41" t="s">
        <v>2536</v>
      </c>
      <c r="F41" t="s">
        <v>2531</v>
      </c>
      <c r="H41" s="7" t="s">
        <v>2533</v>
      </c>
      <c r="I41" s="5">
        <v>6272</v>
      </c>
    </row>
    <row r="42" spans="1:9">
      <c r="A42" s="7" t="s">
        <v>44</v>
      </c>
      <c r="B42" s="5">
        <v>744</v>
      </c>
      <c r="C42" s="5">
        <v>713</v>
      </c>
      <c r="D42" s="5">
        <v>90</v>
      </c>
      <c r="E42" s="5">
        <v>98</v>
      </c>
      <c r="F42" s="5">
        <v>1645</v>
      </c>
      <c r="H42" s="7" t="s">
        <v>2534</v>
      </c>
      <c r="I42" s="5">
        <v>4672</v>
      </c>
    </row>
    <row r="43" spans="1:9">
      <c r="A43" s="7" t="s">
        <v>39</v>
      </c>
      <c r="B43" s="5">
        <v>716</v>
      </c>
      <c r="C43" s="5">
        <v>598</v>
      </c>
      <c r="D43" s="5">
        <v>18</v>
      </c>
      <c r="E43" s="5">
        <v>214</v>
      </c>
      <c r="F43" s="5">
        <v>1546</v>
      </c>
      <c r="H43" s="7" t="s">
        <v>2535</v>
      </c>
      <c r="I43" s="5">
        <v>317</v>
      </c>
    </row>
    <row r="44" spans="1:9">
      <c r="A44" s="7" t="s">
        <v>26</v>
      </c>
      <c r="B44" s="5">
        <v>627</v>
      </c>
      <c r="C44" s="5">
        <v>393</v>
      </c>
      <c r="D44" s="5">
        <v>29</v>
      </c>
      <c r="E44" s="5">
        <v>137</v>
      </c>
      <c r="F44" s="5">
        <v>1186</v>
      </c>
      <c r="H44" s="7" t="s">
        <v>2536</v>
      </c>
      <c r="I44" s="5">
        <v>736</v>
      </c>
    </row>
    <row r="45" spans="1:9">
      <c r="A45" s="7" t="s">
        <v>22</v>
      </c>
      <c r="B45" s="5">
        <v>568</v>
      </c>
      <c r="C45" s="5">
        <v>306</v>
      </c>
      <c r="D45" s="5">
        <v>22</v>
      </c>
      <c r="E45" s="5">
        <v>16</v>
      </c>
      <c r="F45" s="5">
        <v>912</v>
      </c>
      <c r="H45" s="7" t="s">
        <v>2531</v>
      </c>
      <c r="I45" s="5">
        <v>11997</v>
      </c>
    </row>
    <row r="46" spans="1:9">
      <c r="A46" s="7" t="s">
        <v>54</v>
      </c>
      <c r="B46" s="5">
        <v>482</v>
      </c>
      <c r="C46" s="5">
        <v>295</v>
      </c>
      <c r="D46" s="5">
        <v>8</v>
      </c>
      <c r="E46" s="5">
        <v>22</v>
      </c>
      <c r="F46" s="5">
        <v>807</v>
      </c>
    </row>
    <row r="47" spans="1:9">
      <c r="A47" s="7" t="s">
        <v>16</v>
      </c>
      <c r="B47" s="5">
        <v>428</v>
      </c>
      <c r="C47" s="5">
        <v>293</v>
      </c>
      <c r="D47" s="5"/>
      <c r="E47" s="5">
        <v>24</v>
      </c>
      <c r="F47" s="5">
        <v>745</v>
      </c>
    </row>
    <row r="48" spans="1:9">
      <c r="A48" s="7" t="s">
        <v>46</v>
      </c>
      <c r="B48" s="5">
        <v>445</v>
      </c>
      <c r="C48" s="5">
        <v>202</v>
      </c>
      <c r="D48" s="5">
        <v>14</v>
      </c>
      <c r="E48" s="5">
        <v>39</v>
      </c>
      <c r="F48" s="5">
        <v>700</v>
      </c>
    </row>
    <row r="49" spans="1:6">
      <c r="A49" s="7" t="s">
        <v>32</v>
      </c>
      <c r="B49" s="5">
        <v>431</v>
      </c>
      <c r="C49" s="5">
        <v>187</v>
      </c>
      <c r="D49" s="5">
        <v>14</v>
      </c>
      <c r="E49" s="5">
        <v>15</v>
      </c>
      <c r="F49" s="5">
        <v>647</v>
      </c>
    </row>
    <row r="50" spans="1:6">
      <c r="A50" s="7" t="s">
        <v>42</v>
      </c>
      <c r="B50" s="5">
        <v>264</v>
      </c>
      <c r="C50" s="5">
        <v>318</v>
      </c>
      <c r="D50" s="5">
        <v>15</v>
      </c>
      <c r="E50" s="5">
        <v>9</v>
      </c>
      <c r="F50" s="5">
        <v>606</v>
      </c>
    </row>
    <row r="51" spans="1:6">
      <c r="A51" s="7" t="s">
        <v>37</v>
      </c>
      <c r="B51" s="5">
        <v>296</v>
      </c>
      <c r="C51" s="5">
        <v>275</v>
      </c>
      <c r="D51" s="5">
        <v>9</v>
      </c>
      <c r="E51" s="5">
        <v>23</v>
      </c>
      <c r="F51" s="5">
        <v>603</v>
      </c>
    </row>
    <row r="52" spans="1:6">
      <c r="A52" s="7" t="s">
        <v>123</v>
      </c>
      <c r="B52" s="5">
        <v>153</v>
      </c>
      <c r="C52" s="5">
        <v>246</v>
      </c>
      <c r="D52" s="5">
        <v>30</v>
      </c>
      <c r="E52" s="5">
        <v>8</v>
      </c>
      <c r="F52" s="5">
        <v>437</v>
      </c>
    </row>
    <row r="53" spans="1:6">
      <c r="A53" s="7" t="s">
        <v>146</v>
      </c>
      <c r="B53" s="5">
        <v>189</v>
      </c>
      <c r="C53" s="5">
        <v>168</v>
      </c>
      <c r="D53" s="5">
        <v>10</v>
      </c>
      <c r="E53" s="5">
        <v>31</v>
      </c>
      <c r="F53" s="5">
        <v>398</v>
      </c>
    </row>
    <row r="54" spans="1:6">
      <c r="A54" s="7" t="s">
        <v>69</v>
      </c>
      <c r="B54" s="5">
        <v>234</v>
      </c>
      <c r="C54" s="5">
        <v>93</v>
      </c>
      <c r="D54" s="5">
        <v>19</v>
      </c>
      <c r="E54" s="5">
        <v>24</v>
      </c>
      <c r="F54" s="5">
        <v>370</v>
      </c>
    </row>
    <row r="55" spans="1:6">
      <c r="A55" s="7" t="s">
        <v>30</v>
      </c>
      <c r="B55" s="5">
        <v>146</v>
      </c>
      <c r="C55" s="5">
        <v>94</v>
      </c>
      <c r="D55" s="5">
        <v>4</v>
      </c>
      <c r="E55" s="5">
        <v>28</v>
      </c>
      <c r="F55" s="5">
        <v>272</v>
      </c>
    </row>
    <row r="56" spans="1:6">
      <c r="A56" s="7" t="s">
        <v>135</v>
      </c>
      <c r="B56" s="5">
        <v>127</v>
      </c>
      <c r="C56" s="5">
        <v>118</v>
      </c>
      <c r="D56" s="5">
        <v>13</v>
      </c>
      <c r="E56" s="5">
        <v>12</v>
      </c>
      <c r="F56" s="5">
        <v>270</v>
      </c>
    </row>
    <row r="57" spans="1:6">
      <c r="A57" s="7" t="s">
        <v>67</v>
      </c>
      <c r="B57" s="5">
        <v>179</v>
      </c>
      <c r="C57" s="5">
        <v>76</v>
      </c>
      <c r="D57" s="5">
        <v>3</v>
      </c>
      <c r="E57" s="5"/>
      <c r="F57" s="5">
        <v>258</v>
      </c>
    </row>
    <row r="58" spans="1:6">
      <c r="A58" s="7" t="s">
        <v>128</v>
      </c>
      <c r="B58" s="5">
        <v>99</v>
      </c>
      <c r="C58" s="5">
        <v>69</v>
      </c>
      <c r="D58" s="5">
        <v>3</v>
      </c>
      <c r="E58" s="5">
        <v>24</v>
      </c>
      <c r="F58" s="5">
        <v>195</v>
      </c>
    </row>
    <row r="59" spans="1:6">
      <c r="A59" s="7" t="s">
        <v>76</v>
      </c>
      <c r="B59" s="5">
        <v>75</v>
      </c>
      <c r="C59" s="5">
        <v>103</v>
      </c>
      <c r="D59" s="5">
        <v>4</v>
      </c>
      <c r="E59" s="5">
        <v>6</v>
      </c>
      <c r="F59" s="5">
        <v>188</v>
      </c>
    </row>
    <row r="60" spans="1:6">
      <c r="A60" s="7" t="s">
        <v>81</v>
      </c>
      <c r="B60" s="5">
        <v>43</v>
      </c>
      <c r="C60" s="5">
        <v>90</v>
      </c>
      <c r="D60" s="5">
        <v>8</v>
      </c>
      <c r="E60" s="5">
        <v>6</v>
      </c>
      <c r="F60" s="5">
        <v>147</v>
      </c>
    </row>
    <row r="61" spans="1:6">
      <c r="A61" s="7" t="s">
        <v>171</v>
      </c>
      <c r="B61" s="5">
        <v>26</v>
      </c>
      <c r="C61" s="5">
        <v>35</v>
      </c>
      <c r="D61" s="5">
        <v>4</v>
      </c>
      <c r="E61" s="5"/>
      <c r="F61" s="5">
        <v>65</v>
      </c>
    </row>
    <row r="62" spans="1:6">
      <c r="A62" s="7" t="s">
        <v>2531</v>
      </c>
      <c r="B62" s="5">
        <v>6272</v>
      </c>
      <c r="C62" s="5">
        <v>4672</v>
      </c>
      <c r="D62" s="5">
        <v>317</v>
      </c>
      <c r="E62" s="5">
        <v>736</v>
      </c>
      <c r="F62" s="5">
        <v>11997</v>
      </c>
    </row>
    <row r="68" spans="1:4">
      <c r="A68" s="6" t="s">
        <v>10</v>
      </c>
      <c r="B68" s="6" t="s">
        <v>11</v>
      </c>
      <c r="C68" t="s">
        <v>2544</v>
      </c>
      <c r="D68" t="s">
        <v>2551</v>
      </c>
    </row>
    <row r="69" spans="1:4">
      <c r="A69" t="s">
        <v>19</v>
      </c>
      <c r="B69" t="s">
        <v>115</v>
      </c>
      <c r="C69" s="5">
        <v>31884.999999999996</v>
      </c>
      <c r="D69" s="5">
        <v>579</v>
      </c>
    </row>
    <row r="70" spans="1:4">
      <c r="A70" t="s">
        <v>19</v>
      </c>
      <c r="B70" t="s">
        <v>20</v>
      </c>
      <c r="C70" s="5">
        <v>10.9</v>
      </c>
      <c r="D70" s="5">
        <v>1</v>
      </c>
    </row>
    <row r="71" spans="1:4">
      <c r="A71" t="s">
        <v>19</v>
      </c>
      <c r="B71" t="s">
        <v>641</v>
      </c>
      <c r="C71" s="5">
        <v>800.3</v>
      </c>
      <c r="D71" s="5">
        <v>9</v>
      </c>
    </row>
    <row r="72" spans="1:4">
      <c r="A72" t="s">
        <v>19</v>
      </c>
      <c r="B72" t="s">
        <v>967</v>
      </c>
      <c r="C72" s="5">
        <v>1062.5999999999999</v>
      </c>
      <c r="D72" s="5">
        <v>35</v>
      </c>
    </row>
    <row r="73" spans="1:4">
      <c r="A73" t="s">
        <v>19</v>
      </c>
      <c r="B73" t="s">
        <v>84</v>
      </c>
      <c r="C73" s="5">
        <v>326.20000000000005</v>
      </c>
      <c r="D73" s="5">
        <v>12</v>
      </c>
    </row>
    <row r="74" spans="1:4">
      <c r="A74" t="s">
        <v>19</v>
      </c>
      <c r="B74" t="s">
        <v>1383</v>
      </c>
      <c r="C74" s="5">
        <v>167.5</v>
      </c>
      <c r="D74" s="5">
        <v>4</v>
      </c>
    </row>
    <row r="75" spans="1:4">
      <c r="A75" t="s">
        <v>19</v>
      </c>
      <c r="B75" t="s">
        <v>24</v>
      </c>
      <c r="C75" s="5">
        <v>16168.7</v>
      </c>
      <c r="D75" s="5">
        <v>341</v>
      </c>
    </row>
    <row r="76" spans="1:4">
      <c r="A76" t="s">
        <v>19</v>
      </c>
      <c r="B76" t="s">
        <v>2204</v>
      </c>
      <c r="C76" s="5">
        <v>322.40000000000003</v>
      </c>
      <c r="D76" s="5">
        <v>13</v>
      </c>
    </row>
    <row r="77" spans="1:4">
      <c r="A77" t="s">
        <v>19</v>
      </c>
      <c r="B77" t="s">
        <v>437</v>
      </c>
      <c r="C77" s="5">
        <v>2092.8000000000002</v>
      </c>
      <c r="D77" s="5">
        <v>31</v>
      </c>
    </row>
    <row r="78" spans="1:4">
      <c r="A78" t="s">
        <v>19</v>
      </c>
      <c r="B78" t="s">
        <v>28</v>
      </c>
      <c r="C78" s="5">
        <v>12662.500000000002</v>
      </c>
      <c r="D78" s="5">
        <v>279</v>
      </c>
    </row>
    <row r="79" spans="1:4">
      <c r="A79" t="s">
        <v>19</v>
      </c>
      <c r="B79" t="s">
        <v>208</v>
      </c>
      <c r="C79" s="5">
        <v>343.2</v>
      </c>
      <c r="D79" s="5">
        <v>9</v>
      </c>
    </row>
    <row r="80" spans="1:4">
      <c r="A80" t="s">
        <v>19</v>
      </c>
      <c r="B80" t="s">
        <v>587</v>
      </c>
      <c r="C80" s="5">
        <v>2188.2999999999997</v>
      </c>
      <c r="D80" s="5">
        <v>49</v>
      </c>
    </row>
    <row r="81" spans="1:4">
      <c r="A81" t="s">
        <v>19</v>
      </c>
      <c r="B81" t="s">
        <v>331</v>
      </c>
      <c r="C81" s="5">
        <v>2661.5999999999995</v>
      </c>
      <c r="D81" s="5">
        <v>59</v>
      </c>
    </row>
    <row r="82" spans="1:4">
      <c r="A82" t="s">
        <v>19</v>
      </c>
      <c r="B82" t="s">
        <v>86</v>
      </c>
      <c r="C82" s="5">
        <v>887.5</v>
      </c>
      <c r="D82" s="5">
        <v>8</v>
      </c>
    </row>
    <row r="83" spans="1:4">
      <c r="A83" t="s">
        <v>19</v>
      </c>
      <c r="B83" t="s">
        <v>147</v>
      </c>
      <c r="C83" s="5">
        <v>11354.199999999993</v>
      </c>
      <c r="D83" s="5">
        <v>222</v>
      </c>
    </row>
    <row r="84" spans="1:4">
      <c r="A84" t="s">
        <v>19</v>
      </c>
      <c r="B84" t="s">
        <v>334</v>
      </c>
      <c r="C84" s="5">
        <v>1558.4</v>
      </c>
      <c r="D84" s="5">
        <v>36</v>
      </c>
    </row>
    <row r="85" spans="1:4">
      <c r="A85" t="s">
        <v>19</v>
      </c>
      <c r="B85" t="s">
        <v>949</v>
      </c>
      <c r="C85" s="5">
        <v>2223.9</v>
      </c>
      <c r="D85" s="5">
        <v>30</v>
      </c>
    </row>
    <row r="86" spans="1:4">
      <c r="A86" t="s">
        <v>19</v>
      </c>
      <c r="B86" t="s">
        <v>1426</v>
      </c>
      <c r="C86" s="5">
        <v>26.2</v>
      </c>
      <c r="D86" s="5">
        <v>1</v>
      </c>
    </row>
    <row r="87" spans="1:4">
      <c r="A87" t="s">
        <v>19</v>
      </c>
      <c r="B87" t="s">
        <v>33</v>
      </c>
      <c r="C87" s="5">
        <v>215551.19999999981</v>
      </c>
      <c r="D87" s="5">
        <v>3991</v>
      </c>
    </row>
    <row r="88" spans="1:4">
      <c r="A88" t="s">
        <v>19</v>
      </c>
      <c r="B88" t="s">
        <v>364</v>
      </c>
      <c r="C88" s="5">
        <v>2687.3999999999996</v>
      </c>
      <c r="D88" s="5">
        <v>45</v>
      </c>
    </row>
    <row r="89" spans="1:4">
      <c r="A89" t="s">
        <v>19</v>
      </c>
      <c r="B89" t="s">
        <v>545</v>
      </c>
      <c r="C89" s="5">
        <v>1463.3000000000002</v>
      </c>
      <c r="D89" s="5">
        <v>39</v>
      </c>
    </row>
    <row r="90" spans="1:4">
      <c r="A90" t="s">
        <v>19</v>
      </c>
      <c r="B90" t="s">
        <v>416</v>
      </c>
      <c r="C90" s="5">
        <v>445.79999999999995</v>
      </c>
      <c r="D90" s="5">
        <v>6</v>
      </c>
    </row>
    <row r="91" spans="1:4">
      <c r="A91" t="s">
        <v>19</v>
      </c>
      <c r="B91" t="s">
        <v>258</v>
      </c>
      <c r="C91" s="5">
        <v>273.59999999999997</v>
      </c>
      <c r="D91" s="5">
        <v>9</v>
      </c>
    </row>
    <row r="92" spans="1:4">
      <c r="A92" t="s">
        <v>19</v>
      </c>
      <c r="B92" t="s">
        <v>186</v>
      </c>
      <c r="C92" s="5">
        <v>2690.4</v>
      </c>
      <c r="D92" s="5">
        <v>60</v>
      </c>
    </row>
    <row r="93" spans="1:4">
      <c r="A93" t="s">
        <v>19</v>
      </c>
      <c r="B93" t="s">
        <v>392</v>
      </c>
      <c r="C93" s="5">
        <v>28.4</v>
      </c>
      <c r="D93" s="5">
        <v>2</v>
      </c>
    </row>
    <row r="94" spans="1:4">
      <c r="A94" t="s">
        <v>19</v>
      </c>
      <c r="B94" t="s">
        <v>670</v>
      </c>
      <c r="C94" s="5">
        <v>204.8</v>
      </c>
      <c r="D94" s="5">
        <v>4</v>
      </c>
    </row>
    <row r="95" spans="1:4">
      <c r="A95" t="s">
        <v>19</v>
      </c>
      <c r="B95" t="s">
        <v>802</v>
      </c>
      <c r="C95" s="5">
        <v>1607.8999999999999</v>
      </c>
      <c r="D95" s="5">
        <v>31</v>
      </c>
    </row>
    <row r="96" spans="1:4">
      <c r="A96" t="s">
        <v>19</v>
      </c>
      <c r="B96" t="s">
        <v>98</v>
      </c>
      <c r="C96" s="5">
        <v>6444.9</v>
      </c>
      <c r="D96" s="5">
        <v>88</v>
      </c>
    </row>
    <row r="97" spans="1:4">
      <c r="A97" t="s">
        <v>19</v>
      </c>
      <c r="B97" t="s">
        <v>49</v>
      </c>
      <c r="C97" s="5">
        <v>1809.3</v>
      </c>
      <c r="D97" s="5">
        <v>25</v>
      </c>
    </row>
    <row r="98" spans="1:4">
      <c r="A98" t="s">
        <v>19</v>
      </c>
      <c r="B98" t="s">
        <v>188</v>
      </c>
      <c r="C98" s="5">
        <v>9680.399999999996</v>
      </c>
      <c r="D98" s="5">
        <v>178</v>
      </c>
    </row>
    <row r="99" spans="1:4">
      <c r="A99" t="s">
        <v>19</v>
      </c>
      <c r="B99" t="s">
        <v>52</v>
      </c>
      <c r="C99" s="5">
        <v>9414.7999999999993</v>
      </c>
      <c r="D99" s="5">
        <v>141</v>
      </c>
    </row>
    <row r="100" spans="1:4">
      <c r="A100" t="s">
        <v>19</v>
      </c>
      <c r="B100" t="s">
        <v>338</v>
      </c>
      <c r="C100" s="5">
        <v>206.1</v>
      </c>
      <c r="D100" s="5">
        <v>6</v>
      </c>
    </row>
    <row r="101" spans="1:4">
      <c r="A101" t="s">
        <v>19</v>
      </c>
      <c r="B101" t="s">
        <v>158</v>
      </c>
      <c r="C101" s="5">
        <v>7691.3</v>
      </c>
      <c r="D101" s="5">
        <v>178</v>
      </c>
    </row>
    <row r="102" spans="1:4">
      <c r="A102" t="s">
        <v>19</v>
      </c>
      <c r="B102" t="s">
        <v>55</v>
      </c>
      <c r="C102" s="5">
        <v>37784.900000000016</v>
      </c>
      <c r="D102" s="5">
        <v>699</v>
      </c>
    </row>
    <row r="103" spans="1:4">
      <c r="A103" t="s">
        <v>19</v>
      </c>
      <c r="B103" t="s">
        <v>342</v>
      </c>
      <c r="C103" s="5">
        <v>1129.7</v>
      </c>
      <c r="D103" s="5">
        <v>23</v>
      </c>
    </row>
    <row r="104" spans="1:4">
      <c r="A104" t="s">
        <v>19</v>
      </c>
      <c r="B104" t="s">
        <v>59</v>
      </c>
      <c r="C104" s="5">
        <v>20988.9</v>
      </c>
      <c r="D104" s="5">
        <v>356</v>
      </c>
    </row>
    <row r="105" spans="1:4">
      <c r="A105" t="s">
        <v>19</v>
      </c>
      <c r="B105" t="s">
        <v>62</v>
      </c>
      <c r="C105" s="5">
        <v>98367.099999999977</v>
      </c>
      <c r="D105" s="5">
        <v>1768</v>
      </c>
    </row>
    <row r="106" spans="1:4">
      <c r="A106" t="s">
        <v>19</v>
      </c>
      <c r="B106" t="s">
        <v>103</v>
      </c>
      <c r="C106" s="5">
        <v>21911.9</v>
      </c>
      <c r="D106" s="5">
        <v>307</v>
      </c>
    </row>
    <row r="107" spans="1:4">
      <c r="A107" t="s">
        <v>19</v>
      </c>
      <c r="B107" t="s">
        <v>201</v>
      </c>
      <c r="C107" s="5">
        <v>5441.2</v>
      </c>
      <c r="D107" s="5">
        <v>117</v>
      </c>
    </row>
    <row r="108" spans="1:4">
      <c r="A108" t="s">
        <v>19</v>
      </c>
      <c r="B108" t="s">
        <v>429</v>
      </c>
      <c r="C108" s="5">
        <v>392.8</v>
      </c>
      <c r="D108" s="5">
        <v>13</v>
      </c>
    </row>
    <row r="109" spans="1:4">
      <c r="A109" t="s">
        <v>19</v>
      </c>
      <c r="B109" t="s">
        <v>72</v>
      </c>
      <c r="C109" s="5">
        <v>16172.000000000005</v>
      </c>
      <c r="D109" s="5">
        <v>364</v>
      </c>
    </row>
    <row r="110" spans="1:4">
      <c r="A110" t="s">
        <v>19</v>
      </c>
      <c r="B110" t="s">
        <v>74</v>
      </c>
      <c r="C110" s="5">
        <v>4334.9999999999991</v>
      </c>
      <c r="D110" s="5">
        <v>95</v>
      </c>
    </row>
    <row r="111" spans="1:4">
      <c r="A111" t="s">
        <v>19</v>
      </c>
      <c r="B111" t="s">
        <v>77</v>
      </c>
      <c r="C111" s="5">
        <v>37449.000000000007</v>
      </c>
      <c r="D111" s="5">
        <v>737</v>
      </c>
    </row>
    <row r="112" spans="1:4">
      <c r="A112" t="s">
        <v>19</v>
      </c>
      <c r="B112" t="s">
        <v>309</v>
      </c>
      <c r="C112" s="5">
        <v>2447.5</v>
      </c>
      <c r="D112" s="5">
        <v>39</v>
      </c>
    </row>
    <row r="113" spans="1:4">
      <c r="A113" t="s">
        <v>19</v>
      </c>
      <c r="B113" t="s">
        <v>1116</v>
      </c>
      <c r="C113" s="5">
        <v>3391.1</v>
      </c>
      <c r="D113" s="5">
        <v>56</v>
      </c>
    </row>
    <row r="114" spans="1:4">
      <c r="A114" t="s">
        <v>19</v>
      </c>
      <c r="B114" t="s">
        <v>700</v>
      </c>
      <c r="C114" s="5">
        <v>30.8</v>
      </c>
      <c r="D114" s="5">
        <v>2</v>
      </c>
    </row>
    <row r="115" spans="1:4">
      <c r="A115" t="s">
        <v>19</v>
      </c>
      <c r="B115" t="s">
        <v>268</v>
      </c>
      <c r="C115" s="5">
        <v>332.3</v>
      </c>
      <c r="D115" s="5">
        <v>8</v>
      </c>
    </row>
    <row r="116" spans="1:4">
      <c r="A116" t="s">
        <v>19</v>
      </c>
      <c r="B116" t="s">
        <v>377</v>
      </c>
      <c r="C116" s="5">
        <v>3175.9999999999995</v>
      </c>
      <c r="D116" s="5">
        <v>52</v>
      </c>
    </row>
    <row r="117" spans="1:4">
      <c r="A117" t="s">
        <v>19</v>
      </c>
      <c r="B117" t="s">
        <v>108</v>
      </c>
      <c r="C117" s="5">
        <v>20939.600000000002</v>
      </c>
      <c r="D117" s="5">
        <v>295</v>
      </c>
    </row>
    <row r="118" spans="1:4">
      <c r="A118" t="s">
        <v>19</v>
      </c>
      <c r="B118" t="s">
        <v>110</v>
      </c>
      <c r="C118" s="5">
        <v>10185.899999999996</v>
      </c>
      <c r="D118" s="5">
        <v>195</v>
      </c>
    </row>
    <row r="119" spans="1:4">
      <c r="A119" t="s">
        <v>19</v>
      </c>
      <c r="B119" t="s">
        <v>292</v>
      </c>
      <c r="C119" s="5">
        <v>958.7</v>
      </c>
      <c r="D119" s="5">
        <v>20</v>
      </c>
    </row>
    <row r="120" spans="1:4">
      <c r="A120" t="s">
        <v>19</v>
      </c>
      <c r="B120" t="s">
        <v>79</v>
      </c>
      <c r="C120" s="5">
        <v>323</v>
      </c>
      <c r="D120" s="5">
        <v>6</v>
      </c>
    </row>
    <row r="121" spans="1:4">
      <c r="A121" t="s">
        <v>19</v>
      </c>
      <c r="B121" t="s">
        <v>608</v>
      </c>
      <c r="C121" s="5">
        <v>167.70000000000002</v>
      </c>
      <c r="D121" s="5">
        <v>5</v>
      </c>
    </row>
    <row r="122" spans="1:4">
      <c r="A122" t="s">
        <v>19</v>
      </c>
      <c r="B122" t="s">
        <v>113</v>
      </c>
      <c r="C122" s="5">
        <v>3978.5</v>
      </c>
      <c r="D122" s="5">
        <v>94</v>
      </c>
    </row>
    <row r="123" spans="1:4">
      <c r="A123" t="s">
        <v>19</v>
      </c>
      <c r="B123" t="s">
        <v>997</v>
      </c>
      <c r="C123" s="5">
        <v>1405</v>
      </c>
      <c r="D123" s="5">
        <v>28</v>
      </c>
    </row>
    <row r="124" spans="1:4">
      <c r="A124" t="s">
        <v>19</v>
      </c>
      <c r="B124" t="s">
        <v>82</v>
      </c>
      <c r="C124" s="5">
        <v>9869.0999999999985</v>
      </c>
      <c r="D124" s="5">
        <v>179</v>
      </c>
    </row>
    <row r="125" spans="1:4">
      <c r="A125" t="s">
        <v>19</v>
      </c>
      <c r="B125" t="s">
        <v>243</v>
      </c>
      <c r="C125" s="5">
        <v>615.29999999999995</v>
      </c>
      <c r="D125" s="5">
        <v>15</v>
      </c>
    </row>
    <row r="126" spans="1:4">
      <c r="A126" t="s">
        <v>19</v>
      </c>
      <c r="B126" t="s">
        <v>1911</v>
      </c>
      <c r="C126" s="5">
        <v>285</v>
      </c>
      <c r="D126" s="5">
        <v>3</v>
      </c>
    </row>
    <row r="129" spans="1:7">
      <c r="A129" t="s">
        <v>2542</v>
      </c>
      <c r="E129" t="s">
        <v>2543</v>
      </c>
    </row>
    <row r="131" spans="1:7">
      <c r="A131" s="19"/>
      <c r="B131" s="19"/>
      <c r="C131" s="19"/>
      <c r="E131" s="19"/>
      <c r="F131" s="19"/>
      <c r="G131" s="19"/>
    </row>
    <row r="132" spans="1:7">
      <c r="A132" s="21" t="str">
        <f>A68</f>
        <v>State</v>
      </c>
      <c r="B132" s="21" t="str">
        <f t="shared" ref="B132:C132" si="1">B68</f>
        <v>County</v>
      </c>
      <c r="C132" s="21" t="str">
        <f t="shared" si="1"/>
        <v xml:space="preserve"> Amount</v>
      </c>
      <c r="D132" s="21"/>
      <c r="E132" s="21" t="str">
        <f>A68</f>
        <v>State</v>
      </c>
      <c r="F132" s="21" t="str">
        <f>B68</f>
        <v>County</v>
      </c>
      <c r="G132" s="22" t="str">
        <f>D68</f>
        <v xml:space="preserve"> Quantity</v>
      </c>
    </row>
    <row r="133" spans="1:7">
      <c r="A133" s="21" t="str">
        <f>IF(A69= "","",A69)</f>
        <v>California</v>
      </c>
      <c r="B133" s="21" t="str">
        <f t="shared" ref="B133:C133" si="2">IF(B69= "","",B69)</f>
        <v>Alameda County</v>
      </c>
      <c r="C133" s="21">
        <f t="shared" si="2"/>
        <v>31884.999999999996</v>
      </c>
      <c r="D133" s="21"/>
      <c r="E133" s="21" t="str">
        <f>IF(A69="","",A69)</f>
        <v>California</v>
      </c>
      <c r="F133" s="21" t="str">
        <f t="shared" ref="F133:G133" si="3">IF(B69="","",B69)</f>
        <v>Alameda County</v>
      </c>
      <c r="G133" s="21">
        <f t="shared" si="3"/>
        <v>31884.999999999996</v>
      </c>
    </row>
    <row r="134" spans="1:7">
      <c r="A134" s="21" t="str">
        <f t="shared" ref="A134:C134" si="4">IF(A70= "","",A70)</f>
        <v>California</v>
      </c>
      <c r="B134" s="21" t="str">
        <f t="shared" si="4"/>
        <v>Alpine County</v>
      </c>
      <c r="C134" s="21">
        <f t="shared" si="4"/>
        <v>10.9</v>
      </c>
      <c r="D134" s="21"/>
      <c r="E134" s="21" t="str">
        <f t="shared" ref="E134:E166" si="5">IF(A70="","",A70)</f>
        <v>California</v>
      </c>
      <c r="F134" s="21" t="str">
        <f t="shared" ref="F134:F166" si="6">IF(B70="","",B70)</f>
        <v>Alpine County</v>
      </c>
      <c r="G134" s="21">
        <f t="shared" ref="G134:G166" si="7">IF(C70="","",C70)</f>
        <v>10.9</v>
      </c>
    </row>
    <row r="135" spans="1:7">
      <c r="A135" s="21" t="str">
        <f t="shared" ref="A135:C135" si="8">IF(A71= "","",A71)</f>
        <v>California</v>
      </c>
      <c r="B135" s="21" t="str">
        <f t="shared" si="8"/>
        <v>Amador County</v>
      </c>
      <c r="C135" s="21">
        <f t="shared" si="8"/>
        <v>800.3</v>
      </c>
      <c r="D135" s="21"/>
      <c r="E135" s="21" t="str">
        <f t="shared" si="5"/>
        <v>California</v>
      </c>
      <c r="F135" s="21" t="str">
        <f t="shared" si="6"/>
        <v>Amador County</v>
      </c>
      <c r="G135" s="21">
        <f t="shared" si="7"/>
        <v>800.3</v>
      </c>
    </row>
    <row r="136" spans="1:7">
      <c r="A136" s="21" t="str">
        <f t="shared" ref="A136:C136" si="9">IF(A72= "","",A72)</f>
        <v>California</v>
      </c>
      <c r="B136" s="21" t="str">
        <f t="shared" si="9"/>
        <v>Butte County</v>
      </c>
      <c r="C136" s="21">
        <f t="shared" si="9"/>
        <v>1062.5999999999999</v>
      </c>
      <c r="D136" s="21"/>
      <c r="E136" s="21" t="str">
        <f t="shared" si="5"/>
        <v>California</v>
      </c>
      <c r="F136" s="21" t="str">
        <f t="shared" si="6"/>
        <v>Butte County</v>
      </c>
      <c r="G136" s="21">
        <f t="shared" si="7"/>
        <v>1062.5999999999999</v>
      </c>
    </row>
    <row r="137" spans="1:7">
      <c r="A137" s="21" t="str">
        <f t="shared" ref="A137:C137" si="10">IF(A73= "","",A73)</f>
        <v>California</v>
      </c>
      <c r="B137" s="21" t="str">
        <f t="shared" si="10"/>
        <v>Calaveras County</v>
      </c>
      <c r="C137" s="21">
        <f t="shared" si="10"/>
        <v>326.20000000000005</v>
      </c>
      <c r="D137" s="21"/>
      <c r="E137" s="21" t="str">
        <f t="shared" si="5"/>
        <v>California</v>
      </c>
      <c r="F137" s="21" t="str">
        <f t="shared" si="6"/>
        <v>Calaveras County</v>
      </c>
      <c r="G137" s="21">
        <f t="shared" si="7"/>
        <v>326.20000000000005</v>
      </c>
    </row>
    <row r="138" spans="1:7">
      <c r="A138" s="21" t="str">
        <f t="shared" ref="A138:C138" si="11">IF(A74= "","",A74)</f>
        <v>California</v>
      </c>
      <c r="B138" s="21" t="str">
        <f t="shared" si="11"/>
        <v>Colusa County</v>
      </c>
      <c r="C138" s="21">
        <f t="shared" si="11"/>
        <v>167.5</v>
      </c>
      <c r="D138" s="21"/>
      <c r="E138" s="21" t="str">
        <f t="shared" si="5"/>
        <v>California</v>
      </c>
      <c r="F138" s="21" t="str">
        <f t="shared" si="6"/>
        <v>Colusa County</v>
      </c>
      <c r="G138" s="21">
        <f t="shared" si="7"/>
        <v>167.5</v>
      </c>
    </row>
    <row r="139" spans="1:7">
      <c r="A139" s="21" t="str">
        <f t="shared" ref="A139:C139" si="12">IF(A75= "","",A75)</f>
        <v>California</v>
      </c>
      <c r="B139" s="21" t="str">
        <f t="shared" si="12"/>
        <v>Contra Costa County</v>
      </c>
      <c r="C139" s="21">
        <f t="shared" si="12"/>
        <v>16168.7</v>
      </c>
      <c r="D139" s="21"/>
      <c r="E139" s="21" t="str">
        <f t="shared" si="5"/>
        <v>California</v>
      </c>
      <c r="F139" s="21" t="str">
        <f t="shared" si="6"/>
        <v>Contra Costa County</v>
      </c>
      <c r="G139" s="21">
        <f t="shared" si="7"/>
        <v>16168.7</v>
      </c>
    </row>
    <row r="140" spans="1:7">
      <c r="A140" s="21" t="str">
        <f t="shared" ref="A140:C140" si="13">IF(A76= "","",A76)</f>
        <v>California</v>
      </c>
      <c r="B140" s="21" t="str">
        <f t="shared" si="13"/>
        <v>Del Norte County</v>
      </c>
      <c r="C140" s="21">
        <f t="shared" si="13"/>
        <v>322.40000000000003</v>
      </c>
      <c r="D140" s="21"/>
      <c r="E140" s="21" t="str">
        <f t="shared" si="5"/>
        <v>California</v>
      </c>
      <c r="F140" s="21" t="str">
        <f t="shared" si="6"/>
        <v>Del Norte County</v>
      </c>
      <c r="G140" s="21">
        <f t="shared" si="7"/>
        <v>322.40000000000003</v>
      </c>
    </row>
    <row r="141" spans="1:7">
      <c r="A141" s="21" t="str">
        <f t="shared" ref="A141:C141" si="14">IF(A77= "","",A77)</f>
        <v>California</v>
      </c>
      <c r="B141" s="21" t="str">
        <f t="shared" si="14"/>
        <v>El Dorado County</v>
      </c>
      <c r="C141" s="21">
        <f t="shared" si="14"/>
        <v>2092.8000000000002</v>
      </c>
      <c r="D141" s="21"/>
      <c r="E141" s="21" t="str">
        <f t="shared" si="5"/>
        <v>California</v>
      </c>
      <c r="F141" s="21" t="str">
        <f t="shared" si="6"/>
        <v>El Dorado County</v>
      </c>
      <c r="G141" s="21">
        <f t="shared" si="7"/>
        <v>2092.8000000000002</v>
      </c>
    </row>
    <row r="142" spans="1:7">
      <c r="A142" s="21" t="str">
        <f t="shared" ref="A142:C142" si="15">IF(A78= "","",A78)</f>
        <v>California</v>
      </c>
      <c r="B142" s="21" t="str">
        <f t="shared" si="15"/>
        <v>Fresno County</v>
      </c>
      <c r="C142" s="21">
        <f t="shared" si="15"/>
        <v>12662.500000000002</v>
      </c>
      <c r="D142" s="21"/>
      <c r="E142" s="21" t="str">
        <f t="shared" si="5"/>
        <v>California</v>
      </c>
      <c r="F142" s="21" t="str">
        <f t="shared" si="6"/>
        <v>Fresno County</v>
      </c>
      <c r="G142" s="21">
        <f t="shared" si="7"/>
        <v>12662.500000000002</v>
      </c>
    </row>
    <row r="143" spans="1:7">
      <c r="A143" s="21" t="str">
        <f t="shared" ref="A143:C143" si="16">IF(A79= "","",A79)</f>
        <v>California</v>
      </c>
      <c r="B143" s="21" t="str">
        <f t="shared" si="16"/>
        <v>Glenn County</v>
      </c>
      <c r="C143" s="21">
        <f t="shared" si="16"/>
        <v>343.2</v>
      </c>
      <c r="D143" s="21"/>
      <c r="E143" s="21" t="str">
        <f t="shared" si="5"/>
        <v>California</v>
      </c>
      <c r="F143" s="21" t="str">
        <f t="shared" si="6"/>
        <v>Glenn County</v>
      </c>
      <c r="G143" s="21">
        <f t="shared" si="7"/>
        <v>343.2</v>
      </c>
    </row>
    <row r="144" spans="1:7">
      <c r="A144" s="21" t="str">
        <f t="shared" ref="A144:C144" si="17">IF(A80= "","",A80)</f>
        <v>California</v>
      </c>
      <c r="B144" s="21" t="str">
        <f t="shared" si="17"/>
        <v>Humboldt County</v>
      </c>
      <c r="C144" s="21">
        <f t="shared" si="17"/>
        <v>2188.2999999999997</v>
      </c>
      <c r="D144" s="21"/>
      <c r="E144" s="21" t="str">
        <f t="shared" si="5"/>
        <v>California</v>
      </c>
      <c r="F144" s="21" t="str">
        <f t="shared" si="6"/>
        <v>Humboldt County</v>
      </c>
      <c r="G144" s="21">
        <f t="shared" si="7"/>
        <v>2188.2999999999997</v>
      </c>
    </row>
    <row r="145" spans="1:7">
      <c r="A145" s="21" t="str">
        <f t="shared" ref="A145:C145" si="18">IF(A81= "","",A81)</f>
        <v>California</v>
      </c>
      <c r="B145" s="21" t="str">
        <f t="shared" si="18"/>
        <v>Imperial County</v>
      </c>
      <c r="C145" s="21">
        <f t="shared" si="18"/>
        <v>2661.5999999999995</v>
      </c>
      <c r="D145" s="21"/>
      <c r="E145" s="21" t="str">
        <f t="shared" si="5"/>
        <v>California</v>
      </c>
      <c r="F145" s="21" t="str">
        <f t="shared" si="6"/>
        <v>Imperial County</v>
      </c>
      <c r="G145" s="21">
        <f t="shared" si="7"/>
        <v>2661.5999999999995</v>
      </c>
    </row>
    <row r="146" spans="1:7">
      <c r="A146" s="21" t="str">
        <f t="shared" ref="A146:C146" si="19">IF(A82= "","",A82)</f>
        <v>California</v>
      </c>
      <c r="B146" s="21" t="str">
        <f t="shared" si="19"/>
        <v>Inyo County</v>
      </c>
      <c r="C146" s="21">
        <f t="shared" si="19"/>
        <v>887.5</v>
      </c>
      <c r="D146" s="21"/>
      <c r="E146" s="21" t="str">
        <f t="shared" si="5"/>
        <v>California</v>
      </c>
      <c r="F146" s="21" t="str">
        <f t="shared" si="6"/>
        <v>Inyo County</v>
      </c>
      <c r="G146" s="21">
        <f t="shared" si="7"/>
        <v>887.5</v>
      </c>
    </row>
    <row r="147" spans="1:7">
      <c r="A147" s="21" t="str">
        <f t="shared" ref="A147:C147" si="20">IF(A83= "","",A83)</f>
        <v>California</v>
      </c>
      <c r="B147" s="21" t="str">
        <f t="shared" si="20"/>
        <v>Kern County</v>
      </c>
      <c r="C147" s="21">
        <f t="shared" si="20"/>
        <v>11354.199999999993</v>
      </c>
      <c r="D147" s="21"/>
      <c r="E147" s="21" t="str">
        <f t="shared" si="5"/>
        <v>California</v>
      </c>
      <c r="F147" s="21" t="str">
        <f t="shared" si="6"/>
        <v>Kern County</v>
      </c>
      <c r="G147" s="21">
        <f t="shared" si="7"/>
        <v>11354.199999999993</v>
      </c>
    </row>
    <row r="148" spans="1:7">
      <c r="A148" s="21" t="str">
        <f t="shared" ref="A148:C148" si="21">IF(A84= "","",A84)</f>
        <v>California</v>
      </c>
      <c r="B148" s="21" t="str">
        <f t="shared" si="21"/>
        <v>Kings County</v>
      </c>
      <c r="C148" s="21">
        <f t="shared" si="21"/>
        <v>1558.4</v>
      </c>
      <c r="D148" s="21"/>
      <c r="E148" s="21" t="str">
        <f t="shared" si="5"/>
        <v>California</v>
      </c>
      <c r="F148" s="21" t="str">
        <f t="shared" si="6"/>
        <v>Kings County</v>
      </c>
      <c r="G148" s="21">
        <f t="shared" si="7"/>
        <v>1558.4</v>
      </c>
    </row>
    <row r="149" spans="1:7">
      <c r="A149" s="21" t="str">
        <f t="shared" ref="A149:C149" si="22">IF(A85= "","",A85)</f>
        <v>California</v>
      </c>
      <c r="B149" s="21" t="str">
        <f t="shared" si="22"/>
        <v>Lake County</v>
      </c>
      <c r="C149" s="21">
        <f t="shared" si="22"/>
        <v>2223.9</v>
      </c>
      <c r="D149" s="21"/>
      <c r="E149" s="21" t="str">
        <f t="shared" si="5"/>
        <v>California</v>
      </c>
      <c r="F149" s="21" t="str">
        <f t="shared" si="6"/>
        <v>Lake County</v>
      </c>
      <c r="G149" s="21">
        <f t="shared" si="7"/>
        <v>2223.9</v>
      </c>
    </row>
    <row r="150" spans="1:7">
      <c r="A150" s="21" t="str">
        <f t="shared" ref="A150:C150" si="23">IF(A86= "","",A86)</f>
        <v>California</v>
      </c>
      <c r="B150" s="21" t="str">
        <f t="shared" si="23"/>
        <v>Lassen County</v>
      </c>
      <c r="C150" s="21">
        <f t="shared" si="23"/>
        <v>26.2</v>
      </c>
      <c r="D150" s="21"/>
      <c r="E150" s="21" t="str">
        <f t="shared" si="5"/>
        <v>California</v>
      </c>
      <c r="F150" s="21" t="str">
        <f t="shared" si="6"/>
        <v>Lassen County</v>
      </c>
      <c r="G150" s="21">
        <f t="shared" si="7"/>
        <v>26.2</v>
      </c>
    </row>
    <row r="151" spans="1:7">
      <c r="A151" s="21" t="str">
        <f t="shared" ref="A151:C151" si="24">IF(A87= "","",A87)</f>
        <v>California</v>
      </c>
      <c r="B151" s="21" t="str">
        <f t="shared" si="24"/>
        <v>Los Angeles County</v>
      </c>
      <c r="C151" s="21">
        <f t="shared" si="24"/>
        <v>215551.19999999981</v>
      </c>
      <c r="D151" s="21"/>
      <c r="E151" s="21" t="str">
        <f t="shared" si="5"/>
        <v>California</v>
      </c>
      <c r="F151" s="21" t="str">
        <f t="shared" si="6"/>
        <v>Los Angeles County</v>
      </c>
      <c r="G151" s="21">
        <f t="shared" si="7"/>
        <v>215551.19999999981</v>
      </c>
    </row>
    <row r="152" spans="1:7">
      <c r="A152" s="21" t="str">
        <f t="shared" ref="A152:C152" si="25">IF(A88= "","",A88)</f>
        <v>California</v>
      </c>
      <c r="B152" s="21" t="str">
        <f t="shared" si="25"/>
        <v>Madera County</v>
      </c>
      <c r="C152" s="21">
        <f t="shared" si="25"/>
        <v>2687.3999999999996</v>
      </c>
      <c r="D152" s="21"/>
      <c r="E152" s="21" t="str">
        <f t="shared" si="5"/>
        <v>California</v>
      </c>
      <c r="F152" s="21" t="str">
        <f t="shared" si="6"/>
        <v>Madera County</v>
      </c>
      <c r="G152" s="21">
        <f t="shared" si="7"/>
        <v>2687.3999999999996</v>
      </c>
    </row>
    <row r="153" spans="1:7">
      <c r="A153" s="21" t="str">
        <f t="shared" ref="A153:C153" si="26">IF(A89= "","",A89)</f>
        <v>California</v>
      </c>
      <c r="B153" s="21" t="str">
        <f t="shared" si="26"/>
        <v>Marin County</v>
      </c>
      <c r="C153" s="21">
        <f t="shared" si="26"/>
        <v>1463.3000000000002</v>
      </c>
      <c r="D153" s="21"/>
      <c r="E153" s="21" t="str">
        <f t="shared" si="5"/>
        <v>California</v>
      </c>
      <c r="F153" s="21" t="str">
        <f t="shared" si="6"/>
        <v>Marin County</v>
      </c>
      <c r="G153" s="21">
        <f t="shared" si="7"/>
        <v>1463.3000000000002</v>
      </c>
    </row>
    <row r="154" spans="1:7">
      <c r="A154" s="21" t="str">
        <f t="shared" ref="A154:C154" si="27">IF(A90= "","",A90)</f>
        <v>California</v>
      </c>
      <c r="B154" s="21" t="str">
        <f t="shared" si="27"/>
        <v>Mariposa County</v>
      </c>
      <c r="C154" s="21">
        <f t="shared" si="27"/>
        <v>445.79999999999995</v>
      </c>
      <c r="D154" s="21"/>
      <c r="E154" s="21" t="str">
        <f t="shared" si="5"/>
        <v>California</v>
      </c>
      <c r="F154" s="21" t="str">
        <f t="shared" si="6"/>
        <v>Mariposa County</v>
      </c>
      <c r="G154" s="21">
        <f t="shared" si="7"/>
        <v>445.79999999999995</v>
      </c>
    </row>
    <row r="155" spans="1:7">
      <c r="A155" s="21" t="str">
        <f t="shared" ref="A155:C155" si="28">IF(A91= "","",A91)</f>
        <v>California</v>
      </c>
      <c r="B155" s="21" t="str">
        <f t="shared" si="28"/>
        <v>Mendocino County</v>
      </c>
      <c r="C155" s="21">
        <f t="shared" si="28"/>
        <v>273.59999999999997</v>
      </c>
      <c r="D155" s="21"/>
      <c r="E155" s="21" t="str">
        <f t="shared" si="5"/>
        <v>California</v>
      </c>
      <c r="F155" s="21" t="str">
        <f t="shared" si="6"/>
        <v>Mendocino County</v>
      </c>
      <c r="G155" s="21">
        <f t="shared" si="7"/>
        <v>273.59999999999997</v>
      </c>
    </row>
    <row r="156" spans="1:7">
      <c r="A156" s="21" t="str">
        <f t="shared" ref="A156:C156" si="29">IF(A92= "","",A92)</f>
        <v>California</v>
      </c>
      <c r="B156" s="21" t="str">
        <f t="shared" si="29"/>
        <v>Merced County</v>
      </c>
      <c r="C156" s="21">
        <f t="shared" si="29"/>
        <v>2690.4</v>
      </c>
      <c r="D156" s="21"/>
      <c r="E156" s="21" t="str">
        <f t="shared" si="5"/>
        <v>California</v>
      </c>
      <c r="F156" s="21" t="str">
        <f t="shared" si="6"/>
        <v>Merced County</v>
      </c>
      <c r="G156" s="21">
        <f t="shared" si="7"/>
        <v>2690.4</v>
      </c>
    </row>
    <row r="157" spans="1:7">
      <c r="A157" s="21" t="str">
        <f t="shared" ref="A157:C157" si="30">IF(A93= "","",A93)</f>
        <v>California</v>
      </c>
      <c r="B157" s="21" t="str">
        <f t="shared" si="30"/>
        <v>Modoc County</v>
      </c>
      <c r="C157" s="21">
        <f t="shared" si="30"/>
        <v>28.4</v>
      </c>
      <c r="D157" s="21"/>
      <c r="E157" s="21" t="str">
        <f t="shared" si="5"/>
        <v>California</v>
      </c>
      <c r="F157" s="21" t="str">
        <f t="shared" si="6"/>
        <v>Modoc County</v>
      </c>
      <c r="G157" s="21">
        <f t="shared" si="7"/>
        <v>28.4</v>
      </c>
    </row>
    <row r="158" spans="1:7">
      <c r="A158" s="21" t="str">
        <f t="shared" ref="A158:C158" si="31">IF(A94= "","",A94)</f>
        <v>California</v>
      </c>
      <c r="B158" s="21" t="str">
        <f t="shared" si="31"/>
        <v>Mono County</v>
      </c>
      <c r="C158" s="21">
        <f t="shared" si="31"/>
        <v>204.8</v>
      </c>
      <c r="D158" s="21"/>
      <c r="E158" s="21" t="str">
        <f t="shared" si="5"/>
        <v>California</v>
      </c>
      <c r="F158" s="21" t="str">
        <f t="shared" si="6"/>
        <v>Mono County</v>
      </c>
      <c r="G158" s="21">
        <f t="shared" si="7"/>
        <v>204.8</v>
      </c>
    </row>
    <row r="159" spans="1:7">
      <c r="A159" s="21" t="str">
        <f t="shared" ref="A159:C159" si="32">IF(A95= "","",A95)</f>
        <v>California</v>
      </c>
      <c r="B159" s="21" t="str">
        <f t="shared" si="32"/>
        <v>Monterey County</v>
      </c>
      <c r="C159" s="21">
        <f t="shared" si="32"/>
        <v>1607.8999999999999</v>
      </c>
      <c r="D159" s="21"/>
      <c r="E159" s="21" t="str">
        <f t="shared" si="5"/>
        <v>California</v>
      </c>
      <c r="F159" s="21" t="str">
        <f t="shared" si="6"/>
        <v>Monterey County</v>
      </c>
      <c r="G159" s="21">
        <f t="shared" si="7"/>
        <v>1607.8999999999999</v>
      </c>
    </row>
    <row r="160" spans="1:7">
      <c r="A160" s="21" t="str">
        <f t="shared" ref="A160:C160" si="33">IF(A96= "","",A96)</f>
        <v>California</v>
      </c>
      <c r="B160" s="21" t="str">
        <f t="shared" si="33"/>
        <v>Napa County</v>
      </c>
      <c r="C160" s="21">
        <f t="shared" si="33"/>
        <v>6444.9</v>
      </c>
      <c r="D160" s="21"/>
      <c r="E160" s="21" t="str">
        <f t="shared" si="5"/>
        <v>California</v>
      </c>
      <c r="F160" s="21" t="str">
        <f t="shared" si="6"/>
        <v>Napa County</v>
      </c>
      <c r="G160" s="21">
        <f t="shared" si="7"/>
        <v>6444.9</v>
      </c>
    </row>
    <row r="161" spans="1:7">
      <c r="A161" s="21" t="str">
        <f t="shared" ref="A161:C161" si="34">IF(A97= "","",A97)</f>
        <v>California</v>
      </c>
      <c r="B161" s="21" t="str">
        <f t="shared" si="34"/>
        <v>Nevada County</v>
      </c>
      <c r="C161" s="21">
        <f t="shared" si="34"/>
        <v>1809.3</v>
      </c>
      <c r="D161" s="21"/>
      <c r="E161" s="21" t="str">
        <f t="shared" si="5"/>
        <v>California</v>
      </c>
      <c r="F161" s="21" t="str">
        <f t="shared" si="6"/>
        <v>Nevada County</v>
      </c>
      <c r="G161" s="21">
        <f t="shared" si="7"/>
        <v>1809.3</v>
      </c>
    </row>
    <row r="162" spans="1:7">
      <c r="A162" s="21" t="str">
        <f t="shared" ref="A162:C162" si="35">IF(A98= "","",A98)</f>
        <v>California</v>
      </c>
      <c r="B162" s="21" t="str">
        <f t="shared" si="35"/>
        <v>Orange County</v>
      </c>
      <c r="C162" s="21">
        <f t="shared" si="35"/>
        <v>9680.399999999996</v>
      </c>
      <c r="D162" s="21"/>
      <c r="E162" s="21" t="str">
        <f t="shared" si="5"/>
        <v>California</v>
      </c>
      <c r="F162" s="21" t="str">
        <f t="shared" si="6"/>
        <v>Orange County</v>
      </c>
      <c r="G162" s="21">
        <f t="shared" si="7"/>
        <v>9680.399999999996</v>
      </c>
    </row>
    <row r="163" spans="1:7">
      <c r="A163" s="21" t="str">
        <f t="shared" ref="A163:C163" si="36">IF(A99= "","",A99)</f>
        <v>California</v>
      </c>
      <c r="B163" s="21" t="str">
        <f t="shared" si="36"/>
        <v>Placer County</v>
      </c>
      <c r="C163" s="21">
        <f t="shared" si="36"/>
        <v>9414.7999999999993</v>
      </c>
      <c r="D163" s="21"/>
      <c r="E163" s="21" t="str">
        <f t="shared" si="5"/>
        <v>California</v>
      </c>
      <c r="F163" s="21" t="str">
        <f t="shared" si="6"/>
        <v>Placer County</v>
      </c>
      <c r="G163" s="21">
        <f t="shared" si="7"/>
        <v>9414.7999999999993</v>
      </c>
    </row>
    <row r="164" spans="1:7">
      <c r="A164" s="21" t="str">
        <f t="shared" ref="A164:C164" si="37">IF(A100= "","",A100)</f>
        <v>California</v>
      </c>
      <c r="B164" s="21" t="str">
        <f t="shared" si="37"/>
        <v>Plumas County</v>
      </c>
      <c r="C164" s="21">
        <f t="shared" si="37"/>
        <v>206.1</v>
      </c>
      <c r="D164" s="21"/>
      <c r="E164" s="21" t="str">
        <f t="shared" si="5"/>
        <v>California</v>
      </c>
      <c r="F164" s="21" t="str">
        <f t="shared" si="6"/>
        <v>Plumas County</v>
      </c>
      <c r="G164" s="21">
        <f t="shared" si="7"/>
        <v>206.1</v>
      </c>
    </row>
    <row r="165" spans="1:7">
      <c r="A165" s="21" t="str">
        <f t="shared" ref="A165:C165" si="38">IF(A101= "","",A101)</f>
        <v>California</v>
      </c>
      <c r="B165" s="21" t="str">
        <f t="shared" si="38"/>
        <v>Riverside County</v>
      </c>
      <c r="C165" s="21">
        <f t="shared" si="38"/>
        <v>7691.3</v>
      </c>
      <c r="D165" s="21"/>
      <c r="E165" s="21" t="str">
        <f t="shared" si="5"/>
        <v>California</v>
      </c>
      <c r="F165" s="21" t="str">
        <f t="shared" si="6"/>
        <v>Riverside County</v>
      </c>
      <c r="G165" s="21">
        <f t="shared" si="7"/>
        <v>7691.3</v>
      </c>
    </row>
    <row r="166" spans="1:7">
      <c r="A166" s="21" t="str">
        <f t="shared" ref="A166:C166" si="39">IF(A102= "","",A102)</f>
        <v>California</v>
      </c>
      <c r="B166" s="21" t="str">
        <f t="shared" si="39"/>
        <v>Sacramento County</v>
      </c>
      <c r="C166" s="21">
        <f t="shared" si="39"/>
        <v>37784.900000000016</v>
      </c>
      <c r="D166" s="21"/>
      <c r="E166" s="21" t="str">
        <f t="shared" si="5"/>
        <v>California</v>
      </c>
      <c r="F166" s="21" t="str">
        <f t="shared" si="6"/>
        <v>Sacramento County</v>
      </c>
      <c r="G166" s="21">
        <f t="shared" si="7"/>
        <v>37784.900000000016</v>
      </c>
    </row>
    <row r="167" spans="1:7">
      <c r="A167" s="20"/>
      <c r="B167" s="20"/>
      <c r="C167" s="20"/>
    </row>
    <row r="168" spans="1:7">
      <c r="A168" s="20"/>
      <c r="B168" s="20"/>
      <c r="C168" s="20"/>
    </row>
    <row r="169" spans="1:7">
      <c r="A169" s="20"/>
      <c r="B169" s="20"/>
      <c r="C169" s="20"/>
    </row>
    <row r="170" spans="1:7">
      <c r="A170" s="20"/>
      <c r="B170" s="20"/>
      <c r="C170" s="20"/>
    </row>
    <row r="171" spans="1:7">
      <c r="A171" s="20"/>
      <c r="B171" s="20"/>
      <c r="C171" s="20"/>
    </row>
    <row r="172" spans="1:7">
      <c r="A172" s="20"/>
      <c r="B172" s="20"/>
      <c r="C172" s="20"/>
    </row>
    <row r="173" spans="1:7">
      <c r="A173" s="20"/>
      <c r="B173" s="20"/>
      <c r="C173" s="20"/>
    </row>
    <row r="174" spans="1:7">
      <c r="A174" s="20"/>
      <c r="B174" s="20"/>
      <c r="C174" s="20"/>
    </row>
    <row r="175" spans="1:7">
      <c r="A175" s="20"/>
      <c r="B175" s="20"/>
      <c r="C175" s="20"/>
    </row>
    <row r="176" spans="1:7">
      <c r="A176" s="20"/>
      <c r="B176" s="20"/>
      <c r="C176" s="20"/>
    </row>
    <row r="177" spans="1:3">
      <c r="A177" s="20"/>
      <c r="B177" s="20"/>
      <c r="C177" s="20"/>
    </row>
    <row r="178" spans="1:3">
      <c r="A178" s="20"/>
      <c r="B178" s="20"/>
      <c r="C178" s="20"/>
    </row>
    <row r="179" spans="1:3">
      <c r="A179" s="20"/>
      <c r="B179" s="20"/>
      <c r="C179" s="20"/>
    </row>
    <row r="180" spans="1:3">
      <c r="A180" s="20"/>
      <c r="B180" s="20"/>
      <c r="C180" s="20"/>
    </row>
    <row r="181" spans="1:3">
      <c r="A181" s="20"/>
      <c r="B181" s="20"/>
      <c r="C181" s="20"/>
    </row>
    <row r="182" spans="1:3">
      <c r="A182" s="20"/>
      <c r="B182" s="20"/>
      <c r="C182" s="20"/>
    </row>
    <row r="183" spans="1:3">
      <c r="A183" s="20"/>
      <c r="B183" s="20"/>
      <c r="C183" s="20"/>
    </row>
    <row r="184" spans="1:3">
      <c r="A184" s="20"/>
      <c r="B184" s="20"/>
      <c r="C184" s="20"/>
    </row>
    <row r="185" spans="1:3">
      <c r="A185" s="20"/>
      <c r="B185" s="20"/>
      <c r="C185" s="20"/>
    </row>
    <row r="186" spans="1:3">
      <c r="A186" s="20"/>
      <c r="B186" s="20"/>
      <c r="C186" s="20"/>
    </row>
    <row r="187" spans="1:3">
      <c r="A187" s="20"/>
      <c r="B187" s="20"/>
      <c r="C187" s="20"/>
    </row>
    <row r="188" spans="1:3">
      <c r="A188" s="20"/>
      <c r="B188" s="20"/>
      <c r="C188" s="20"/>
    </row>
    <row r="189" spans="1:3">
      <c r="A189" s="20"/>
      <c r="B189" s="20"/>
      <c r="C189" s="20"/>
    </row>
    <row r="190" spans="1:3">
      <c r="A190" s="20"/>
      <c r="B190" s="20"/>
      <c r="C190" s="20"/>
    </row>
    <row r="191" spans="1:3">
      <c r="A191" s="20"/>
      <c r="B191" s="20"/>
      <c r="C191"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5F31-AA83-4607-847C-0F3B7B8E3030}">
  <dimension ref="A1"/>
  <sheetViews>
    <sheetView tabSelected="1" zoomScale="72" workbookViewId="0">
      <selection activeCell="M46" sqref="M46"/>
    </sheetView>
  </sheetViews>
  <sheetFormatPr defaultRowHeight="14"/>
  <cols>
    <col min="1" max="1" width="4.4140625" customWidth="1"/>
    <col min="2" max="2" width="24.58203125" customWidth="1"/>
    <col min="3" max="3" width="4.58203125" customWidth="1"/>
    <col min="8" max="8" width="8.9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55F1-11CB-40C5-A4A4-FEE058271073}">
  <dimension ref="A3:L11"/>
  <sheetViews>
    <sheetView showGridLines="0" workbookViewId="0">
      <selection activeCell="B8" sqref="B8"/>
    </sheetView>
  </sheetViews>
  <sheetFormatPr defaultRowHeight="14"/>
  <cols>
    <col min="1" max="1" width="13.58203125" bestFit="1" customWidth="1"/>
    <col min="2" max="2" width="15.58203125" bestFit="1" customWidth="1"/>
    <col min="3" max="3" width="7.08203125" bestFit="1" customWidth="1"/>
    <col min="4" max="4" width="6.08203125" bestFit="1" customWidth="1"/>
    <col min="5" max="5" width="8.58203125" bestFit="1" customWidth="1"/>
    <col min="6" max="6" width="10.58203125" bestFit="1" customWidth="1"/>
    <col min="8" max="8" width="14.58203125" customWidth="1"/>
    <col min="9" max="9" width="7.9140625" customWidth="1"/>
    <col min="10" max="10" width="7.58203125" customWidth="1"/>
    <col min="11" max="12" width="7.75" customWidth="1"/>
  </cols>
  <sheetData>
    <row r="3" spans="1:12">
      <c r="A3" s="6" t="s">
        <v>2520</v>
      </c>
      <c r="B3" s="6" t="s">
        <v>2532</v>
      </c>
      <c r="H3" t="s">
        <v>2537</v>
      </c>
    </row>
    <row r="4" spans="1:12">
      <c r="A4" s="6" t="s">
        <v>2530</v>
      </c>
      <c r="B4" t="s">
        <v>2533</v>
      </c>
      <c r="C4" t="s">
        <v>2534</v>
      </c>
      <c r="D4" t="s">
        <v>2535</v>
      </c>
      <c r="E4" t="s">
        <v>2536</v>
      </c>
      <c r="F4" t="s">
        <v>2531</v>
      </c>
    </row>
    <row r="5" spans="1:12">
      <c r="A5" s="7" t="s">
        <v>18</v>
      </c>
      <c r="B5" s="9">
        <v>0.18961825201634841</v>
      </c>
      <c r="C5" s="9">
        <v>0.12262322351336576</v>
      </c>
      <c r="D5" s="9">
        <v>1.060537752469185E-2</v>
      </c>
      <c r="E5" s="9">
        <v>3.0599220547662797E-2</v>
      </c>
      <c r="F5" s="9">
        <v>0.35344607360206881</v>
      </c>
    </row>
    <row r="6" spans="1:12" ht="14.5" thickBot="1">
      <c r="A6" s="7" t="s">
        <v>51</v>
      </c>
      <c r="B6" s="9">
        <v>5.0283982091147303E-2</v>
      </c>
      <c r="C6" s="9">
        <v>4.3060781812819873E-2</v>
      </c>
      <c r="D6" s="9">
        <v>1.5320025675641944E-3</v>
      </c>
      <c r="E6" s="9">
        <v>1.7794988689097006E-2</v>
      </c>
      <c r="F6" s="9">
        <v>0.11267175516062837</v>
      </c>
      <c r="H6" s="10"/>
      <c r="I6" s="11" t="str">
        <f>B4</f>
        <v>Female</v>
      </c>
      <c r="J6" s="11" t="str">
        <f t="shared" ref="J6:L6" si="0">C4</f>
        <v>Male</v>
      </c>
      <c r="K6" s="11" t="str">
        <f t="shared" si="0"/>
        <v>Other</v>
      </c>
      <c r="L6" s="12" t="str">
        <f t="shared" si="0"/>
        <v>Unknown</v>
      </c>
    </row>
    <row r="7" spans="1:12" ht="21.65" customHeight="1" thickTop="1" thickBot="1">
      <c r="A7" s="7" t="s">
        <v>70</v>
      </c>
      <c r="B7" s="9">
        <v>6.3496059750411282E-2</v>
      </c>
      <c r="C7" s="9">
        <v>4.6071629863988765E-2</v>
      </c>
      <c r="D7" s="9">
        <v>2.306247051322625E-3</v>
      </c>
      <c r="E7" s="9">
        <v>3.8927934093844286E-3</v>
      </c>
      <c r="F7" s="9">
        <v>0.11576673007510711</v>
      </c>
      <c r="H7" s="13" t="str">
        <f>A5</f>
        <v>App</v>
      </c>
      <c r="I7" s="14">
        <f t="shared" ref="I7:L7" si="1">B5</f>
        <v>0.18961825201634841</v>
      </c>
      <c r="J7" s="14">
        <f t="shared" si="1"/>
        <v>0.12262322351336576</v>
      </c>
      <c r="K7" s="14">
        <f t="shared" si="1"/>
        <v>1.060537752469185E-2</v>
      </c>
      <c r="L7" s="15">
        <f t="shared" si="1"/>
        <v>3.0599220547662797E-2</v>
      </c>
    </row>
    <row r="8" spans="1:12" ht="21.65" customHeight="1" thickTop="1" thickBot="1">
      <c r="A8" s="7" t="s">
        <v>40</v>
      </c>
      <c r="B8" s="9">
        <v>9.6337892927149532E-2</v>
      </c>
      <c r="C8" s="9">
        <v>6.7920115842382611E-2</v>
      </c>
      <c r="D8" s="9">
        <v>5.4979832664581261E-3</v>
      </c>
      <c r="E8" s="9">
        <v>1.2933041488102518E-2</v>
      </c>
      <c r="F8" s="9">
        <v>0.1826890335240928</v>
      </c>
      <c r="H8" s="13" t="str">
        <f t="shared" ref="H8:H11" si="2">A6</f>
        <v>Instagram</v>
      </c>
      <c r="I8" s="14">
        <f t="shared" ref="I8:I11" si="3">B6</f>
        <v>5.0283982091147303E-2</v>
      </c>
      <c r="J8" s="14">
        <f t="shared" ref="J8:J11" si="4">C6</f>
        <v>4.3060781812819873E-2</v>
      </c>
      <c r="K8" s="14">
        <f t="shared" ref="K8:K11" si="5">D6</f>
        <v>1.5320025675641944E-3</v>
      </c>
      <c r="L8" s="15">
        <f t="shared" ref="L8:L11" si="6">E6</f>
        <v>1.7794988689097006E-2</v>
      </c>
    </row>
    <row r="9" spans="1:12" ht="21.65" customHeight="1" thickTop="1" thickBot="1">
      <c r="A9" s="7" t="s">
        <v>35</v>
      </c>
      <c r="B9" s="9">
        <v>0.12522098709469262</v>
      </c>
      <c r="C9" s="9">
        <v>9.1492740283116228E-2</v>
      </c>
      <c r="D9" s="9">
        <v>6.3042760790965081E-3</v>
      </c>
      <c r="E9" s="9">
        <v>1.2408404181197551E-2</v>
      </c>
      <c r="F9" s="9">
        <v>0.23542640763810288</v>
      </c>
      <c r="H9" s="13" t="str">
        <f t="shared" si="2"/>
        <v>Partner App</v>
      </c>
      <c r="I9" s="14">
        <f t="shared" si="3"/>
        <v>6.3496059750411282E-2</v>
      </c>
      <c r="J9" s="14">
        <f t="shared" si="4"/>
        <v>4.6071629863988765E-2</v>
      </c>
      <c r="K9" s="14">
        <f t="shared" si="5"/>
        <v>2.306247051322625E-3</v>
      </c>
      <c r="L9" s="15">
        <f t="shared" si="6"/>
        <v>3.8927934093844286E-3</v>
      </c>
    </row>
    <row r="10" spans="1:12" ht="21.65" customHeight="1" thickTop="1" thickBot="1">
      <c r="A10" s="7" t="s">
        <v>2531</v>
      </c>
      <c r="B10" s="9">
        <v>0.52495717387974916</v>
      </c>
      <c r="C10" s="9">
        <v>0.3711684913156732</v>
      </c>
      <c r="D10" s="9">
        <v>2.6245886489133303E-2</v>
      </c>
      <c r="E10" s="9">
        <v>7.7628448315444312E-2</v>
      </c>
      <c r="F10" s="9">
        <v>1</v>
      </c>
      <c r="H10" s="13" t="str">
        <f t="shared" si="2"/>
        <v>Target.com</v>
      </c>
      <c r="I10" s="14">
        <f t="shared" si="3"/>
        <v>9.6337892927149532E-2</v>
      </c>
      <c r="J10" s="14">
        <f t="shared" si="4"/>
        <v>6.7920115842382611E-2</v>
      </c>
      <c r="K10" s="14">
        <f t="shared" si="5"/>
        <v>5.4979832664581261E-3</v>
      </c>
      <c r="L10" s="15">
        <f t="shared" si="6"/>
        <v>1.2933041488102518E-2</v>
      </c>
    </row>
    <row r="11" spans="1:12" ht="21.65" customHeight="1" thickTop="1">
      <c r="H11" s="16" t="str">
        <f t="shared" si="2"/>
        <v>Website</v>
      </c>
      <c r="I11" s="17">
        <f t="shared" si="3"/>
        <v>0.12522098709469262</v>
      </c>
      <c r="J11" s="17">
        <f t="shared" si="4"/>
        <v>9.1492740283116228E-2</v>
      </c>
      <c r="K11" s="17">
        <f t="shared" si="5"/>
        <v>6.3042760790965081E-3</v>
      </c>
      <c r="L11" s="18">
        <f t="shared" si="6"/>
        <v>1.2408404181197551E-2</v>
      </c>
    </row>
  </sheetData>
  <conditionalFormatting sqref="I7:L11">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1CD8F-72BB-4148-9F64-C47F1DEBF141}">
  <dimension ref="A2:G30"/>
  <sheetViews>
    <sheetView workbookViewId="0">
      <selection activeCell="B6" sqref="B6"/>
    </sheetView>
  </sheetViews>
  <sheetFormatPr defaultRowHeight="14"/>
  <cols>
    <col min="1" max="1" width="12.9140625" bestFit="1" customWidth="1"/>
    <col min="2" max="2" width="13.4140625" bestFit="1" customWidth="1"/>
    <col min="3" max="4" width="3.75" bestFit="1" customWidth="1"/>
    <col min="5" max="5" width="4.75" bestFit="1" customWidth="1"/>
    <col min="6" max="6" width="3.75" bestFit="1" customWidth="1"/>
    <col min="7" max="7" width="10.83203125" bestFit="1" customWidth="1"/>
    <col min="8" max="32" width="9" bestFit="1" customWidth="1"/>
    <col min="33" max="89" width="9.4140625" bestFit="1" customWidth="1"/>
    <col min="90" max="90" width="10.58203125" bestFit="1" customWidth="1"/>
  </cols>
  <sheetData>
    <row r="2" spans="1:2">
      <c r="A2" t="s">
        <v>2545</v>
      </c>
    </row>
    <row r="3" spans="1:2">
      <c r="A3" s="6" t="s">
        <v>2530</v>
      </c>
      <c r="B3" t="s">
        <v>2518</v>
      </c>
    </row>
    <row r="4" spans="1:2">
      <c r="A4" s="7">
        <v>0</v>
      </c>
      <c r="B4" s="5">
        <v>175</v>
      </c>
    </row>
    <row r="5" spans="1:2">
      <c r="A5" s="7">
        <v>1</v>
      </c>
      <c r="B5" s="5">
        <v>888</v>
      </c>
    </row>
    <row r="6" spans="1:2">
      <c r="A6" s="7">
        <v>2</v>
      </c>
      <c r="B6" s="5">
        <v>538</v>
      </c>
    </row>
    <row r="7" spans="1:2">
      <c r="A7" s="7">
        <v>3</v>
      </c>
      <c r="B7" s="5">
        <v>344</v>
      </c>
    </row>
    <row r="8" spans="1:2">
      <c r="A8" s="7">
        <v>4</v>
      </c>
      <c r="B8" s="5">
        <v>200</v>
      </c>
    </row>
    <row r="9" spans="1:2">
      <c r="A9" s="7">
        <v>5</v>
      </c>
      <c r="B9" s="5">
        <v>94</v>
      </c>
    </row>
    <row r="10" spans="1:2">
      <c r="A10" s="7">
        <v>6</v>
      </c>
      <c r="B10" s="5">
        <v>51</v>
      </c>
    </row>
    <row r="11" spans="1:2">
      <c r="A11" s="7">
        <v>7</v>
      </c>
      <c r="B11" s="5">
        <v>32</v>
      </c>
    </row>
    <row r="12" spans="1:2">
      <c r="A12" s="7">
        <v>8</v>
      </c>
      <c r="B12" s="5">
        <v>23</v>
      </c>
    </row>
    <row r="13" spans="1:2">
      <c r="A13" s="7">
        <v>9</v>
      </c>
      <c r="B13" s="5">
        <v>9</v>
      </c>
    </row>
    <row r="14" spans="1:2">
      <c r="A14" s="7">
        <v>10</v>
      </c>
      <c r="B14" s="5">
        <v>8</v>
      </c>
    </row>
    <row r="15" spans="1:2">
      <c r="A15" s="7">
        <v>11</v>
      </c>
      <c r="B15" s="5">
        <v>11</v>
      </c>
    </row>
    <row r="16" spans="1:2">
      <c r="A16" s="7">
        <v>12</v>
      </c>
      <c r="B16" s="5">
        <v>4</v>
      </c>
    </row>
    <row r="17" spans="1:7">
      <c r="A17" s="7">
        <v>13</v>
      </c>
      <c r="B17" s="5">
        <v>10</v>
      </c>
    </row>
    <row r="18" spans="1:7">
      <c r="A18" s="7">
        <v>14</v>
      </c>
      <c r="B18" s="5">
        <v>13</v>
      </c>
    </row>
    <row r="19" spans="1:7">
      <c r="A19" s="7" t="s">
        <v>2531</v>
      </c>
      <c r="B19" s="5">
        <v>2400</v>
      </c>
    </row>
    <row r="23" spans="1:7">
      <c r="A23" t="s">
        <v>2546</v>
      </c>
    </row>
    <row r="25" spans="1:7">
      <c r="A25" s="6" t="s">
        <v>2518</v>
      </c>
      <c r="B25" s="6" t="s">
        <v>2532</v>
      </c>
    </row>
    <row r="26" spans="1:7">
      <c r="A26" s="6" t="s">
        <v>2530</v>
      </c>
      <c r="B26">
        <v>1</v>
      </c>
      <c r="C26">
        <v>2</v>
      </c>
      <c r="D26">
        <v>3</v>
      </c>
      <c r="E26">
        <v>4</v>
      </c>
      <c r="F26">
        <v>5</v>
      </c>
      <c r="G26" t="s">
        <v>2531</v>
      </c>
    </row>
    <row r="27" spans="1:7">
      <c r="A27" s="7" t="s">
        <v>2547</v>
      </c>
      <c r="B27" s="5">
        <v>7</v>
      </c>
      <c r="C27" s="5">
        <v>37</v>
      </c>
      <c r="D27" s="5">
        <v>150</v>
      </c>
      <c r="E27" s="5">
        <v>312</v>
      </c>
      <c r="F27" s="5">
        <v>224</v>
      </c>
      <c r="G27" s="5">
        <v>730</v>
      </c>
    </row>
    <row r="28" spans="1:7">
      <c r="A28" s="7" t="s">
        <v>2548</v>
      </c>
      <c r="B28" s="5">
        <v>8</v>
      </c>
      <c r="C28" s="5">
        <v>51</v>
      </c>
      <c r="D28" s="5">
        <v>182</v>
      </c>
      <c r="E28" s="5">
        <v>373</v>
      </c>
      <c r="F28" s="5">
        <v>247</v>
      </c>
      <c r="G28" s="5">
        <v>861</v>
      </c>
    </row>
    <row r="29" spans="1:7">
      <c r="A29" s="7" t="s">
        <v>2549</v>
      </c>
      <c r="B29" s="5">
        <v>6</v>
      </c>
      <c r="C29" s="5">
        <v>39</v>
      </c>
      <c r="D29" s="5">
        <v>163</v>
      </c>
      <c r="E29" s="5">
        <v>351</v>
      </c>
      <c r="F29" s="5">
        <v>250</v>
      </c>
      <c r="G29" s="5">
        <v>809</v>
      </c>
    </row>
    <row r="30" spans="1:7">
      <c r="A30" s="7" t="s">
        <v>2531</v>
      </c>
      <c r="B30" s="5">
        <v>21</v>
      </c>
      <c r="C30" s="5">
        <v>127</v>
      </c>
      <c r="D30" s="5">
        <v>495</v>
      </c>
      <c r="E30" s="5">
        <v>1036</v>
      </c>
      <c r="F30" s="5">
        <v>721</v>
      </c>
      <c r="G30" s="5">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66" workbookViewId="0">
      <selection activeCell="D92" sqref="D92"/>
    </sheetView>
  </sheetViews>
  <sheetFormatPr defaultRowHeight="14"/>
  <cols>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A2" workbookViewId="0">
      <selection activeCell="E9" sqref="E9"/>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155B-42C3-47F6-852A-5027E1A89E6E}">
  <dimension ref="A1"/>
  <sheetViews>
    <sheetView workbookViewId="0"/>
  </sheetViews>
  <sheetFormatPr defaultRowHeight="1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18CC-5F00-403E-9AB9-946266008707}">
  <dimension ref="A1"/>
  <sheetViews>
    <sheetView workbookViewId="0">
      <selection activeCell="J26" sqref="J26"/>
    </sheetView>
  </sheetViews>
  <sheetFormatPr defaultRowHeight="1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79FB-AFB6-4299-8DBE-1D9C98FB60F6}">
  <dimension ref="A1"/>
  <sheetViews>
    <sheetView workbookViewId="0"/>
  </sheetViews>
  <sheetFormatPr defaultRowHeight="1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my dashboard</vt:lpstr>
      <vt:lpstr>Sheet1</vt:lpstr>
      <vt:lpstr>shipment</vt:lpstr>
      <vt:lpstr>Data</vt:lpstr>
      <vt:lpstr>Questions &amp; KPIs</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Anina Mariya</cp:lastModifiedBy>
  <dcterms:created xsi:type="dcterms:W3CDTF">2025-06-13T02:42:26Z</dcterms:created>
  <dcterms:modified xsi:type="dcterms:W3CDTF">2026-05-05T08:12:16Z</dcterms:modified>
</cp:coreProperties>
</file>